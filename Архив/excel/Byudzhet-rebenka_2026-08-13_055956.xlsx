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ользоваться" sheetId="1" state="visible" r:id="rId1"/>
    <sheet xmlns:r="http://schemas.openxmlformats.org/officeDocument/2006/relationships" name="Сводка" sheetId="2" state="visible" r:id="rId2"/>
    <sheet xmlns:r="http://schemas.openxmlformats.org/officeDocument/2006/relationships" name="Группы диаграммы" sheetId="3" state="visible" r:id="rId3"/>
    <sheet xmlns:r="http://schemas.openxmlformats.org/officeDocument/2006/relationships" name="Аксессуары покупки" sheetId="4" state="visible" r:id="rId4"/>
    <sheet xmlns:r="http://schemas.openxmlformats.org/officeDocument/2006/relationships" name="Бельё покупки" sheetId="5" state="visible" r:id="rId5"/>
    <sheet xmlns:r="http://schemas.openxmlformats.org/officeDocument/2006/relationships" name="Верхняя одежда покупки" sheetId="6" state="visible" r:id="rId6"/>
    <sheet xmlns:r="http://schemas.openxmlformats.org/officeDocument/2006/relationships" name="Комната покупки" sheetId="7" state="visible" r:id="rId7"/>
    <sheet xmlns:r="http://schemas.openxmlformats.org/officeDocument/2006/relationships" name="Оборудование покупки" sheetId="8" state="visible" r:id="rId8"/>
    <sheet xmlns:r="http://schemas.openxmlformats.org/officeDocument/2006/relationships" name="Обувь покупки" sheetId="9" state="visible" r:id="rId9"/>
    <sheet xmlns:r="http://schemas.openxmlformats.org/officeDocument/2006/relationships" name="Одежда второго слоя покупки" sheetId="10" state="visible" r:id="rId10"/>
    <sheet xmlns:r="http://schemas.openxmlformats.org/officeDocument/2006/relationships" name="Предметы личного пользования по" sheetId="11" state="visible" r:id="rId11"/>
    <sheet xmlns:r="http://schemas.openxmlformats.org/officeDocument/2006/relationships" name="Продукты питания покупки" sheetId="12" state="visible" r:id="rId12"/>
    <sheet xmlns:r="http://schemas.openxmlformats.org/officeDocument/2006/relationships" name="Спорт и досуг покупки" sheetId="13" state="visible" r:id="rId13"/>
    <sheet xmlns:r="http://schemas.openxmlformats.org/officeDocument/2006/relationships" name="Обязательное образование — школ" sheetId="14" state="visible" r:id="rId14"/>
    <sheet xmlns:r="http://schemas.openxmlformats.org/officeDocument/2006/relationships" name="Дополнительное образование" sheetId="15" state="visible" r:id="rId15"/>
    <sheet xmlns:r="http://schemas.openxmlformats.org/officeDocument/2006/relationships" name="Лекарства" sheetId="16" state="visible" r:id="rId16"/>
    <sheet xmlns:r="http://schemas.openxmlformats.org/officeDocument/2006/relationships" name="Медицинские услуги" sheetId="17" state="visible" r:id="rId17"/>
    <sheet xmlns:r="http://schemas.openxmlformats.org/officeDocument/2006/relationships" name="Карманные расходы" sheetId="18" state="visible" r:id="rId18"/>
    <sheet xmlns:r="http://schemas.openxmlformats.org/officeDocument/2006/relationships" name="Оборудование расходы" sheetId="19" state="visible" r:id="rId19"/>
    <sheet xmlns:r="http://schemas.openxmlformats.org/officeDocument/2006/relationships" name="Праздники расходы" sheetId="20" state="visible" r:id="rId20"/>
    <sheet xmlns:r="http://schemas.openxmlformats.org/officeDocument/2006/relationships" name="Хобби и развлечения расходы" sheetId="21" state="visible" r:id="rId21"/>
    <sheet xmlns:r="http://schemas.openxmlformats.org/officeDocument/2006/relationships" name="Бытовая косметика покупки" sheetId="22" state="visible" r:id="rId22"/>
    <sheet xmlns:r="http://schemas.openxmlformats.org/officeDocument/2006/relationships" name="Бытовая посуда покупки" sheetId="23" state="visible" r:id="rId23"/>
    <sheet xmlns:r="http://schemas.openxmlformats.org/officeDocument/2006/relationships" name="Бытовая техника покупки" sheetId="24" state="visible" r:id="rId24"/>
    <sheet xmlns:r="http://schemas.openxmlformats.org/officeDocument/2006/relationships" name="Мебель и хозяйство покупки" sheetId="25" state="visible" r:id="rId25"/>
    <sheet xmlns:r="http://schemas.openxmlformats.org/officeDocument/2006/relationships" name="Праздники покупки" sheetId="26" state="visible" r:id="rId26"/>
    <sheet xmlns:r="http://schemas.openxmlformats.org/officeDocument/2006/relationships" name="Содержание жилья расходы" sheetId="27" state="visible" r:id="rId27"/>
    <sheet xmlns:r="http://schemas.openxmlformats.org/officeDocument/2006/relationships" name="Хобби и развлечения расходы 2" sheetId="28" state="visible" r:id="rId28"/>
    <sheet xmlns:r="http://schemas.openxmlformats.org/officeDocument/2006/relationships" name="Транспорт расходы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₽&quot;"/>
  </numFmts>
  <fonts count="8">
    <font>
      <name val="Calibri"/>
      <family val="2"/>
      <color theme="1"/>
      <sz val="11"/>
      <scheme val="minor"/>
    </font>
    <font>
      <name val="Calibri"/>
      <b val="1"/>
      <color rgb="001E3A5F"/>
      <sz val="16"/>
    </font>
    <font>
      <name val="Calibri"/>
      <color rgb="005B6573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0"/>
    </font>
    <font>
      <name val="Calibri"/>
      <color rgb="000563C1"/>
      <sz val="10"/>
      <u val="single"/>
    </font>
    <font>
      <name val="Calibri"/>
      <b val="1"/>
      <color rgb="001E3A5F"/>
      <sz val="18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8D6"/>
      </patternFill>
    </fill>
    <fill>
      <patternFill patternType="solid">
        <fgColor rgb="00FAF8F3"/>
      </patternFill>
    </fill>
  </fills>
  <borders count="2">
    <border>
      <left/>
      <right/>
      <top/>
      <bottom/>
      <diagonal/>
    </border>
    <border>
      <left style="thin">
        <color rgb="00D9D2C4"/>
      </left>
      <right style="thin">
        <color rgb="00D9D2C4"/>
      </right>
      <top style="thin">
        <color rgb="00D9D2C4"/>
      </top>
      <bottom style="thin">
        <color rgb="00D9D2C4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horizontal="right" vertical="center"/>
    </xf>
    <xf numFmtId="0" fontId="0" fillId="4" borderId="1" pivotButton="0" quotePrefix="0" xfId="0"/>
    <xf numFmtId="0" fontId="3" fillId="2" borderId="1" pivotButton="0" quotePrefix="0" xfId="0"/>
    <xf numFmtId="164" fontId="3" fillId="2" borderId="1" pivotButton="0" quotePrefix="0" xfId="0"/>
    <xf numFmtId="0" fontId="5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Блоки, в год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'Сводка'!B4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'Сводка'!$A$5:$A$30</f>
            </numRef>
          </cat>
          <val>
            <numRef>
              <f>'Сводка'!$B$5:$B$30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www.detmir.ru/search/results/?qt=%D0%B1%D0%B5%D0%B9%D1%81%D0%B1%D0%BE%D0%BB%D0%BA%D0%B0" TargetMode="External" Id="rId1"/><Relationship Type="http://schemas.openxmlformats.org/officeDocument/2006/relationships/hyperlink" Target="https://www.detmir.ru/search/results/?qt=%D0%B4%D0%BE%D0%B6%D0%B4%D0%B5%D0%B2%D0%B8%D0%BA%20%D0%B4%D0%B5%D1%82%D1%81%D0%BA%D0%B8%D0%B9" TargetMode="External" Id="rId2"/><Relationship Type="http://schemas.openxmlformats.org/officeDocument/2006/relationships/hyperlink" Target="https://www.detmir.ru/search/results/?qt=%D0%BF%D0%B5%D1%80%D1%87%D0%B0%D1%82%D0%BA%D0%B8%20%D0%B7%D0%B8%D0%BC%D0%BD%D0%B8%D0%B5" TargetMode="External" Id="rId3"/><Relationship Type="http://schemas.openxmlformats.org/officeDocument/2006/relationships/hyperlink" Target="https://www.detmir.ru/search/results/?qt=%D0%BF%D0%B5%D1%80%D1%87%D0%B0%D1%82%D0%BA%D0%B8" TargetMode="External" Id="rId4"/><Relationship Type="http://schemas.openxmlformats.org/officeDocument/2006/relationships/hyperlink" Target="https://www.detmir.ru/search/results/?qt=PlayToday%20%D0%BE%D1%87%D0%BA%D0%B8" TargetMode="External" Id="rId5"/><Relationship Type="http://schemas.openxmlformats.org/officeDocument/2006/relationships/hyperlink" Target="https://www.detmir.ru/search/results/?qt=%D1%81%D1%83%D0%BC%D0%BA%D0%B0%20%D0%B4%D0%BB%D1%8F%20%D0%BA%D0%BE%D0%BD%D1%8C%D0%BA%D0%BE%D0%B2" TargetMode="External" Id="rId6"/><Relationship Type="http://schemas.openxmlformats.org/officeDocument/2006/relationships/hyperlink" Target="https://www.detmir.ru/search/results/?qt=%D1%81%D0%BF%D0%BE%D1%80%D1%82%D0%B8%D0%B2%D0%BD%D0%B0%D1%8F%20%D1%81%D1%83%D0%BC%D0%BA%D0%B0" TargetMode="External" Id="rId7"/><Relationship Type="http://schemas.openxmlformats.org/officeDocument/2006/relationships/hyperlink" Target="https://www.detmir.ru/search/results/?qt=%D1%88%D0%B0%D0%BF%D0%BA%D0%B0%20%D0%B7%D0%B8%D0%BC%D0%BD%D1%8F%D1%8F" TargetMode="External" Id="rId8"/><Relationship Type="http://schemas.openxmlformats.org/officeDocument/2006/relationships/hyperlink" Target="https://www.detmir.ru/search/results/?qt=%D1%88%D0%B0%D0%BF%D0%BA%D0%B0%20%D0%BE%D1%81%D0%B5%D0%BD%D0%BD%D1%8F%D1%8F" TargetMode="External" Id="rId9"/><Relationship Type="http://schemas.openxmlformats.org/officeDocument/2006/relationships/hyperlink" Target="https://www.detmir.ru/search/results/?qt=%D1%88%D0%B0%D1%80%D1%84" TargetMode="External" Id="rId10"/></Relationships>
</file>

<file path=xl/worksheets/_rels/sheet5.xml.rels><Relationships xmlns="http://schemas.openxmlformats.org/package/2006/relationships"><Relationship Type="http://schemas.openxmlformats.org/officeDocument/2006/relationships/hyperlink" Target="https://www.detmir.ru/product/index/id/6733145/" TargetMode="External" Id="rId1"/><Relationship Type="http://schemas.openxmlformats.org/officeDocument/2006/relationships/hyperlink" Target="https://www.detmir.ru/product/index/id/6550049/" TargetMode="External" Id="rId2"/><Relationship Type="http://schemas.openxmlformats.org/officeDocument/2006/relationships/hyperlink" Target="https://www.detmir.ru/search/results/?qt=%D0%BD%D0%BE%D1%81%D0%BA%D0%B8%20%D0%B7%D0%B8%D0%BC%D0%BD%D0%B8%D0%B5%20%D0%B4%D0%B5%D1%82%D1%81%D0%BA%D0%B8%D0%B5" TargetMode="External" Id="rId3"/><Relationship Type="http://schemas.openxmlformats.org/officeDocument/2006/relationships/hyperlink" Target="https://www.detmir.ru/search/results/?qt=%D1%82%D0%B5%D1%80%D0%BC%D0%BE%D0%B1%D0%B5%D0%BB%D1%8C%D0%B5" TargetMode="External" Id="rId4"/><Relationship Type="http://schemas.openxmlformats.org/officeDocument/2006/relationships/hyperlink" Target="https://www.detmir.ru/product/index/id/7072737/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hyperlink" Target="https://www.detmir.ru/product/index/id/6022408/" TargetMode="External" Id="rId1"/><Relationship Type="http://schemas.openxmlformats.org/officeDocument/2006/relationships/hyperlink" Target="https://www.detmir.ru/product/index/id/7061634/" TargetMode="External" Id="rId2"/><Relationship Type="http://schemas.openxmlformats.org/officeDocument/2006/relationships/hyperlink" Target="https://www.wildberries.ru/brands/orby" TargetMode="External" Id="rId3"/><Relationship Type="http://schemas.openxmlformats.org/officeDocument/2006/relationships/hyperlink" Target="https://www.detmir.ru/search/results/?qt=%D0%BA%D1%83%D1%80%D1%82%D0%BA%D0%B0%20%D0%BE%D1%81%D0%B5%D0%BD%D0%BD%D1%8F%D1%8F%20%D1%83%D1%82%D0%B5%D0%BF%D0%BB%D0%B5%D0%BD%D0%BD%D0%B0%D1%8F%20%D0%BC%D0%B0%D0%BB%D1%8C%D1%87%D0%B8%D0%BA" TargetMode="External" Id="rId4"/><Relationship Type="http://schemas.openxmlformats.org/officeDocument/2006/relationships/hyperlink" Target="https://www.detmir.ru/search/results/?qt=%D1%88%D1%82%D0%B0%D0%BD%D1%8B%20%D1%83%D1%82%D0%B5%D0%BF%D0%BB%D0%B5%D0%BD%D0%BD%D1%8B%D0%B5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hyperlink" Target="https://leroymerlin.ru/catalogue/tyul/" TargetMode="External" Id="rId1"/><Relationship Type="http://schemas.openxmlformats.org/officeDocument/2006/relationships/hyperlink" Target="https://leroymerlin.ru/catalogue/kovry/" TargetMode="External" Id="rId2"/><Relationship Type="http://schemas.openxmlformats.org/officeDocument/2006/relationships/hyperlink" Target="https://www.detmir.ru/search/results/?qt=%D0%BA%D0%BE%D0%BD%D1%82%D0%B5%D0%B9%D0%BD%D0%B5%D1%80%20%D0%B4%D0%BB%D1%8F%20%D0%B8%D0%B3%D1%80%D1%83%D1%88%D0%B5%D0%BA" TargetMode="External" Id="rId3"/><Relationship Type="http://schemas.openxmlformats.org/officeDocument/2006/relationships/hyperlink" Target="https://www.detmir.ru/search/results/?qt=%D0%BA%D1%80%D0%B5%D1%81%D0%BB%D0%BE" TargetMode="External" Id="rId4"/><Relationship Type="http://schemas.openxmlformats.org/officeDocument/2006/relationships/hyperlink" Target="https://www.detmir.ru/search/results/?qt=%D0%BA%D1%80%D0%B5%D1%81%D0%BB%D0%BE-%D0%BC%D0%B5%D1%88%D0%BE%D0%BA" TargetMode="External" Id="rId5"/><Relationship Type="http://schemas.openxmlformats.org/officeDocument/2006/relationships/hyperlink" Target="https://www.avito.ru/" TargetMode="External" Id="rId6"/><Relationship Type="http://schemas.openxmlformats.org/officeDocument/2006/relationships/hyperlink" Target="https://ormatek.com/catalog/matrasy/80x180/" TargetMode="External" Id="rId7"/><Relationship Type="http://schemas.openxmlformats.org/officeDocument/2006/relationships/hyperlink" Target="https://www.detmir.ru/search/results/?qt=%D0%BB%D0%B0%D0%BC%D0%BF%D0%B0" TargetMode="External" Id="rId8"/><Relationship Type="http://schemas.openxmlformats.org/officeDocument/2006/relationships/hyperlink" Target="https://www.detmir.ru/search/results/?qt=%D0%BD%D0%BE%D1%87%D0%BD%D0%B8%D0%BA" TargetMode="External" Id="rId9"/><Relationship Type="http://schemas.openxmlformats.org/officeDocument/2006/relationships/hyperlink" Target="https://www.detmir.ru/search/results/?qt=%D0%BE%D0%B4%D0%B5%D1%8F%D0%BB%D0%BE" TargetMode="External" Id="rId10"/><Relationship Type="http://schemas.openxmlformats.org/officeDocument/2006/relationships/hyperlink" Target="https://www.detmir.ru/search/results/?qt=%D0%BF%D0%BB%D0%B5%D0%B4" TargetMode="External" Id="rId11"/><Relationship Type="http://schemas.openxmlformats.org/officeDocument/2006/relationships/hyperlink" Target="https://www.detmir.ru/search/results/?qt=%D0%BF%D0%BE%D0%B4%D1%83%D1%88%D0%BA%D0%B0" TargetMode="External" Id="rId12"/><Relationship Type="http://schemas.openxmlformats.org/officeDocument/2006/relationships/hyperlink" Target="https://www.detmir.ru/search/results/?qt=%D0%BF%D0%BE%D0%B4%D1%83%D1%88%D0%BA%D0%B0%20%D0%B4%D0%B5%D0%BA%D0%BE%D1%80%D0%B0%D1%82%D0%B8%D0%B2%D0%BD%D0%B0%D1%8F" TargetMode="External" Id="rId13"/><Relationship Type="http://schemas.openxmlformats.org/officeDocument/2006/relationships/hyperlink" Target="https://www.detmir.ru/search/results/?qt=%D0%BF%D0%BE%D1%81%D1%82%D0%B5%D0%BB%D1%8C%D0%BD%D0%BE%D0%B5" TargetMode="External" Id="rId14"/><Relationship Type="http://schemas.openxmlformats.org/officeDocument/2006/relationships/hyperlink" Target="https://leroymerlin.ru/catalogue/lyustry/" TargetMode="External" Id="rId15"/><Relationship Type="http://schemas.openxmlformats.org/officeDocument/2006/relationships/hyperlink" Target="https://www.detmir.ru/catalog/index/name/stellsjy/" TargetMode="External" Id="rId16"/><Relationship Type="http://schemas.openxmlformats.org/officeDocument/2006/relationships/hyperlink" Target="https://www.detmir.ru/search/results/?qt=%D1%81%D1%82%D0%BE%D0%BB%20%D0%BF%D0%B8%D1%81%D1%8C%D0%BC%D0%B5%D0%BD%D0%BD%D1%8B%D0%B9" TargetMode="External" Id="rId17"/><Relationship Type="http://schemas.openxmlformats.org/officeDocument/2006/relationships/hyperlink" Target="https://leroymerlin.ru/search/?q=%D1%88%D0%BA%D0%B0%D1%84%20%D0%B4%D0%BB%D1%8F%20%D0%BE%D0%B4%D0%B5%D0%B6%D0%B4%D1%8B" TargetMode="External" Id="rId18"/><Relationship Type="http://schemas.openxmlformats.org/officeDocument/2006/relationships/hyperlink" Target="https://leroymerlin.ru/catalogue/shtory/" TargetMode="External" Id="rId19"/></Relationships>
</file>

<file path=xl/worksheets/_rels/sheet8.xml.rels><Relationships xmlns="http://schemas.openxmlformats.org/package/2006/relationships"><Relationship Type="http://schemas.openxmlformats.org/officeDocument/2006/relationships/hyperlink" Target="https://www.dns-shop.ru/catalog/17a8a40216404e77/klaviatury/" TargetMode="External" Id="rId1"/><Relationship Type="http://schemas.openxmlformats.org/officeDocument/2006/relationships/hyperlink" Target="https://www.dns-shop.ru/catalog/17a9f9e316404e77/kovriki-dlya-myshi/" TargetMode="External" Id="rId2"/><Relationship Type="http://schemas.openxmlformats.org/officeDocument/2006/relationships/hyperlink" Target="https://www.dns-shop.ru/catalog/17a8914916404e77/kompyuternaya-akustika/" TargetMode="External" Id="rId3"/><Relationship Type="http://schemas.openxmlformats.org/officeDocument/2006/relationships/hyperlink" Target="https://www.dns-shop.ru/catalog/17a89bdd16404e77/mikrofoni/" TargetMode="External" Id="rId4"/><Relationship Type="http://schemas.openxmlformats.org/officeDocument/2006/relationships/hyperlink" Target="https://www.dns-shop.ru/catalog/17a8943716404e77/monitory/" TargetMode="External" Id="rId5"/><Relationship Type="http://schemas.openxmlformats.org/officeDocument/2006/relationships/hyperlink" Target="https://www.dns-shop.ru/catalog/17a8a4d816404e77/myshi/" TargetMode="External" Id="rId6"/><Relationship Type="http://schemas.openxmlformats.org/officeDocument/2006/relationships/hyperlink" Target="https://www.detmir.ru/search/results/?qt=%D0%BD%D0%B0%D1%83%D1%88%D0%BD%D0%B8%D0%BA%D0%B8" TargetMode="External" Id="rId7"/><Relationship Type="http://schemas.openxmlformats.org/officeDocument/2006/relationships/hyperlink" Target="https://www.avito.ru/" TargetMode="External" Id="rId8"/><Relationship Type="http://schemas.openxmlformats.org/officeDocument/2006/relationships/hyperlink" Target="https://www.avito.ru/" TargetMode="External" Id="rId9"/></Relationships>
</file>

<file path=xl/worksheets/_rels/sheet9.xml.rels><Relationships xmlns="http://schemas.openxmlformats.org/package/2006/relationships"><Relationship Type="http://schemas.openxmlformats.org/officeDocument/2006/relationships/hyperlink" Target="https://www.detmir.ru/catalog/index/name/botinki_m/sezon_oio-zima/" TargetMode="External" Id="rId1"/><Relationship Type="http://schemas.openxmlformats.org/officeDocument/2006/relationships/hyperlink" Target="https://www.detmir.ru/catalog/index/name/botinki_m/sezon_oio-demisezon/" TargetMode="External" Id="rId2"/><Relationship Type="http://schemas.openxmlformats.org/officeDocument/2006/relationships/hyperlink" Target="https://www.detmir.ru/product/index/id/7076432/" TargetMode="External" Id="rId3"/><Relationship Type="http://schemas.openxmlformats.org/officeDocument/2006/relationships/hyperlink" Target="https://www.detmir.ru/catalog/index/name/shoes_for_boys/brand/4112/" TargetMode="External" Id="rId4"/><Relationship Type="http://schemas.openxmlformats.org/officeDocument/2006/relationships/hyperlink" Target="https://www.detmir.ru/search/results/?qt=%D1%81%D0%BB%D0%B0%D0%BD%D1%86%D1%8B" TargetMode="External" Id="rId5"/><Relationship Type="http://schemas.openxmlformats.org/officeDocument/2006/relationships/hyperlink" Target="https://www.detmir.ru/search/results/?qt=%D1%82%D0%B0%D0%BF%D0%BE%D1%87%D0%BA%D0%B8" TargetMode="External" Id="rId6"/><Relationship Type="http://schemas.openxmlformats.org/officeDocument/2006/relationships/hyperlink" Target="https://www.detmir.ru/product/index/id/7077779/" TargetMode="External" Id="rId7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detmir.ru/product/index/id/7069209/" TargetMode="External" Id="rId1"/><Relationship Type="http://schemas.openxmlformats.org/officeDocument/2006/relationships/hyperlink" Target="https://www.detmir.ru/catalog/index/name/detskaya_odezhda/brand/4112/" TargetMode="External" Id="rId2"/><Relationship Type="http://schemas.openxmlformats.org/officeDocument/2006/relationships/hyperlink" Target="https://www.detmir.ru/search/results/?qt=%D0%B4%D0%BE%D0%BC%D0%B0%D1%88%D0%BD%D0%B8%D0%B9%20%D0%BA%D0%BE%D1%81%D1%82%D1%8E%D0%BC" TargetMode="External" Id="rId3"/><Relationship Type="http://schemas.openxmlformats.org/officeDocument/2006/relationships/hyperlink" Target="https://www.detmir.ru/product/index/id/6643629/" TargetMode="External" Id="rId4"/><Relationship Type="http://schemas.openxmlformats.org/officeDocument/2006/relationships/hyperlink" Target="https://orby.ru/c/shkolnaya-forma-dlya-malchikov/" TargetMode="External" Id="rId5"/><Relationship Type="http://schemas.openxmlformats.org/officeDocument/2006/relationships/hyperlink" Target="https://www.detmir.ru/search/results/?qt=%D1%81%D0%B2%D0%B8%D1%82%D0%B5%D1%80" TargetMode="External" Id="rId6"/><Relationship Type="http://schemas.openxmlformats.org/officeDocument/2006/relationships/hyperlink" Target="https://www.wildberries.ru/brands/playtoday" TargetMode="External" Id="rId7"/><Relationship Type="http://schemas.openxmlformats.org/officeDocument/2006/relationships/hyperlink" Target="https://www.wildberries.ru/brands/playtoday" TargetMode="External" Id="rId8"/><Relationship Type="http://schemas.openxmlformats.org/officeDocument/2006/relationships/hyperlink" Target="https://www.wildberries.ru/brands/playtoday" TargetMode="External" Id="rId9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detmir.ru/search/results/?qt=%D0%B2%D0%B8%D0%BB%D0%BA%D0%B0%20%D0%B4%D0%B5%D1%82%D1%81%D0%BA%D0%B0%D1%8F" TargetMode="External" Id="rId1"/><Relationship Type="http://schemas.openxmlformats.org/officeDocument/2006/relationships/hyperlink" Target="https://magnit.ru/catalog?q=%D0%B2%D0%BB%D0%B0%D0%B6%D0%BD%D1%8B%D0%B5%20%D1%81%D0%B0%D0%BB%D1%84%D0%B5%D1%82%D0%BA%D0%B8" TargetMode="External" Id="rId2"/><Relationship Type="http://schemas.openxmlformats.org/officeDocument/2006/relationships/hyperlink" Target="https://www.okeydostavka.ru/webapp/wcs/stores/servlet/SearchDisplay?searchTerm=R.O.C.S." TargetMode="External" Id="rId3"/><Relationship Type="http://schemas.openxmlformats.org/officeDocument/2006/relationships/hyperlink" Target="https://www.detmir.ru/search/results/?qt=%D0%B7%D1%83%D0%B1%D0%BD%D0%B0%D1%8F%20%D1%89%D0%B5%D1%82%D0%BA%D0%B0%20%D0%B4%D0%B5%D1%82%D1%81%D0%BA%D0%B0%D1%8F" TargetMode="External" Id="rId4"/><Relationship Type="http://schemas.openxmlformats.org/officeDocument/2006/relationships/hyperlink" Target="https://www.detmir.ru/search/results/?qt=%D0%BB%D0%BE%D0%B6%D0%BA%D0%B0%20%D0%B4%D0%B5%D1%82%D1%81%D0%BA%D0%B0%D1%8F" TargetMode="External" Id="rId5"/><Relationship Type="http://schemas.openxmlformats.org/officeDocument/2006/relationships/hyperlink" Target="https://www.detmir.ru/search/results/?qt=%D0%BB%D0%BE%D0%B6%D0%BA%D0%B0%20%D1%87%D0%B0%D0%B9%D0%BD%D0%B0%D1%8F%20%D0%B4%D0%B5%D1%82%D1%81%D0%BA%D0%B0%D1%8F" TargetMode="External" Id="rId6"/><Relationship Type="http://schemas.openxmlformats.org/officeDocument/2006/relationships/hyperlink" Target="https://magnit.ru/catalog?q=%D0%BC%D0%BE%D0%BB%D0%BE%D1%87%D0%BA%D0%BE%20%D0%B4%D0%BB%D1%8F%20%D1%82%D0%B5%D0%BB%D0%B0%20%D0%B4%D0%B5%D1%82%D1%81%D0%BA%D0%BE%D0%B5" TargetMode="External" Id="rId7"/><Relationship Type="http://schemas.openxmlformats.org/officeDocument/2006/relationships/hyperlink" Target="https://www.detmir.ru/search/results/?qt=%D0%BC%D0%BE%D1%87%D0%B0%D0%BB%D0%BA%D0%B0" TargetMode="External" Id="rId8"/><Relationship Type="http://schemas.openxmlformats.org/officeDocument/2006/relationships/hyperlink" Target="https://www.detmir.ru/search/results/?qt=%D0%BF%D0%BE%D0%BB%D0%BE%D1%82%D0%B5%D0%BD%D1%86%D0%B5%20%D0%B1%D0%B0%D0%BD%D0%BD%D0%BE%D0%B5" TargetMode="External" Id="rId9"/><Relationship Type="http://schemas.openxmlformats.org/officeDocument/2006/relationships/hyperlink" Target="https://www.detmir.ru/search/results/?qt=%D0%BF%D0%BE%D0%BB%D0%BE%D1%82%D0%B5%D0%BD%D1%86%D0%B5%20%D0%B4%D0%BB%D1%8F%20%D0%BB%D0%B8%D1%86%D0%B0" TargetMode="External" Id="rId10"/><Relationship Type="http://schemas.openxmlformats.org/officeDocument/2006/relationships/hyperlink" Target="https://www.detmir.ru/search/results/?qt=%D1%82%D0%B0%D1%80%D0%B5%D0%BB%D0%BA%D0%B0%20%D0%B4%D0%B5%D1%82%D1%81%D0%BA%D0%B0%D1%8F" TargetMode="External" Id="rId11"/><Relationship Type="http://schemas.openxmlformats.org/officeDocument/2006/relationships/hyperlink" Target="https://www.detmir.ru/search/results/?qt=%D1%82%D0%B0%D1%80%D0%B5%D0%BB%D0%BA%D0%B0%20%D0%B4%D0%B5%D1%82%D1%81%D0%BA%D0%B0%D1%8F" TargetMode="External" Id="rId12"/><Relationship Type="http://schemas.openxmlformats.org/officeDocument/2006/relationships/hyperlink" Target="https://magnit.ru/product/1000044580-tualetnaya_bumaga_soft_luxe_4_rulona" TargetMode="External" Id="rId13"/><Relationship Type="http://schemas.openxmlformats.org/officeDocument/2006/relationships/hyperlink" Target="https://www.detmir.ru/search/results/?qt=%D0%BA%D1%80%D1%83%D0%B6%D0%BA%D0%B0%20%D0%B4%D0%B5%D1%82%D1%81%D0%BA%D0%B0%D1%8F" TargetMode="External" Id="rId14"/><Relationship Type="http://schemas.openxmlformats.org/officeDocument/2006/relationships/hyperlink" Target="https://www.detmir.ru/search/results/?qt=%D1%88%D0%B0%D0%BC%D0%BF%D1%83%D0%BD%D1%8C%20%D0%B4%D0%B5%D1%82%D1%81%D0%BA%D0%B8%D0%B9" TargetMode="External" Id="rId15"/><Relationship Type="http://schemas.openxmlformats.org/officeDocument/2006/relationships/hyperlink" Target="https://www.detmir.ru/search/results/?qt=%D0%B1%D1%83%D1%82%D1%8B%D0%BB%D0%BA%D0%B0" TargetMode="External" Id="rId16"/></Relationships>
</file>

<file path=xl/worksheets/_rels/sheet12.xml.rels><Relationships xmlns="http://schemas.openxmlformats.org/package/2006/relationships"><Relationship Type="http://schemas.openxmlformats.org/officeDocument/2006/relationships/hyperlink" Target="https://magnit.ru/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rocky-shop.ru/ekipirovka-dlya-edinoborstv/kurtka-dlya-sambo-green-hill-junior-rostovki-160-190-sm-10032.html" TargetMode="External" Id="rId1"/><Relationship Type="http://schemas.openxmlformats.org/officeDocument/2006/relationships/hyperlink" Target="https://www.detmir.ru/search/results/?qt=%D0%B1%D1%83%D1%81%D1%82%D0%B5%D1%80%20%D0%B0%D0%B2%D1%82%D0%BE%D0%BC%D0%BE%D0%B1%D0%B8%D0%BB%D1%8C%D0%BD%D1%8B%D0%B9" TargetMode="External" Id="rId2"/><Relationship Type="http://schemas.openxmlformats.org/officeDocument/2006/relationships/hyperlink" Target="https://market.yandex.ru/search?text=%D0%B2%D0%B5%D0%BB%D0%BE%D1%81%D0%B8%D0%BF%D0%B5%D0%B4%20Stern%2024" TargetMode="External" Id="rId3"/><Relationship Type="http://schemas.openxmlformats.org/officeDocument/2006/relationships/hyperlink" Target="https://www.detmir.ru/search/results/?qt=%D0%B3%D0%B0%D0%BD%D1%82%D0%B5%D0%BB%D0%B8%20%D0%B4%D0%B5%D1%82%D1%81%D0%BA%D0%B8%D0%B5" TargetMode="External" Id="rId4"/><Relationship Type="http://schemas.openxmlformats.org/officeDocument/2006/relationships/hyperlink" Target="https://karate.ru/shop/catalog/407-perchatki-mma-sinie-kozhzamenitel-combat-sambo-green-hill/" TargetMode="External" Id="rId5"/><Relationship Type="http://schemas.openxmlformats.org/officeDocument/2006/relationships/hyperlink" Target="https://www.detmir.ru/search/results/?qt=%D0%BA%D0%BE%D0%BD%D1%8C%D0%BA%D0%B8" TargetMode="External" Id="rId6"/><Relationship Type="http://schemas.openxmlformats.org/officeDocument/2006/relationships/hyperlink" Target="https://www.detmir.ru/search/results/?qt=%D0%BB%D0%B0%D1%81%D1%82%D1%8B%20%D0%B4%D0%B5%D1%82%D1%81%D0%BA%D0%B8%D0%B5" TargetMode="External" Id="rId7"/><Relationship Type="http://schemas.openxmlformats.org/officeDocument/2006/relationships/hyperlink" Target="https://www.detmir.ru/search/results/?qt=%D0%BC%D1%8F%D1%87%20%D1%84%D1%83%D1%82%D0%B1%D0%BE%D0%BB%D1%8C%D0%BD%D1%8B%D0%B9" TargetMode="External" Id="rId8"/><Relationship Type="http://schemas.openxmlformats.org/officeDocument/2006/relationships/hyperlink" Target="https://www.detmir.ru/search/results/?qt=%D0%BD%D0%B0%D0%B4%D1%83%D0%B2%D0%BD%D0%BE%D0%B9%20%D0%BA%D1%80%D1%83%D0%B3" TargetMode="External" Id="rId9"/><Relationship Type="http://schemas.openxmlformats.org/officeDocument/2006/relationships/hyperlink" Target="https://dantesport.ru/product_info.php?products_id=1207" TargetMode="External" Id="rId10"/><Relationship Type="http://schemas.openxmlformats.org/officeDocument/2006/relationships/hyperlink" Target="https://www.detmir.ru/catalog/index/name/plavki/" TargetMode="External" Id="rId11"/><Relationship Type="http://schemas.openxmlformats.org/officeDocument/2006/relationships/hyperlink" Target="https://www.detmir.ru/search/results/?qt=%D0%BF%D0%BE%D0%BB%D0%BE%D1%82%D0%B5%D0%BD%D1%86%D0%B5%20%D0%BF%D0%BB%D0%B0%D0%B2%D0%B0%D0%BD%D0%B8%D0%B5" TargetMode="External" Id="rId12"/><Relationship Type="http://schemas.openxmlformats.org/officeDocument/2006/relationships/hyperlink" Target="https://www.detmir.ru/search/results/?qt=%D1%81%D0%BA%D0%B0%D0%BA%D0%B0%D0%BB%D0%BA%D0%B0" TargetMode="External" Id="rId13"/><Relationship Type="http://schemas.openxmlformats.org/officeDocument/2006/relationships/hyperlink" Target="https://leroymerlin.ru/search/?q=%D1%81%D1%82%D1%83%D0%BB%20%D0%BA%D0%B5%D0%BC%D0%BF%D0%B8%D0%BD%D0%B3" TargetMode="External" Id="rId14"/><Relationship Type="http://schemas.openxmlformats.org/officeDocument/2006/relationships/hyperlink" Target="https://rocky-shop.ru/ekipirovka-dlya-edinoborstv/detskie-bortscovki-dlya-sambo-green-hill-triumf-odobreny-fias-27458.html" TargetMode="External" Id="rId15"/></Relationships>
</file>

<file path=xl/worksheets/_rels/sheet14.xml.rels><Relationships xmlns="http://schemas.openxmlformats.org/package/2006/relationships"><Relationship Type="http://schemas.openxmlformats.org/officeDocument/2006/relationships/hyperlink" Target="https://www.wildberries.ru/catalog/13454614/detail.aspx" TargetMode="External" Id="rId1"/><Relationship Type="http://schemas.openxmlformats.org/officeDocument/2006/relationships/hyperlink" Target="https://www.detmir.ru/product/index/id/7065088/" TargetMode="External" Id="rId2"/><Relationship Type="http://schemas.openxmlformats.org/officeDocument/2006/relationships/hyperlink" Target="https://www.detmir.ru/product/index/id/7065103/" TargetMode="External" Id="rId3"/><Relationship Type="http://schemas.openxmlformats.org/officeDocument/2006/relationships/hyperlink" Target="https://orby.ru/c/shkolnaya-forma-dlya-malchikov/" TargetMode="External" Id="rId4"/><Relationship Type="http://schemas.openxmlformats.org/officeDocument/2006/relationships/hyperlink" Target="https://www.sportmaster.ru/catalog/deti/obuv/krossovki_kedy/" TargetMode="External" Id="rId5"/><Relationship Type="http://schemas.openxmlformats.org/officeDocument/2006/relationships/hyperlink" Target="https://www.detmir.ru/catalog/index/name/neckties/" TargetMode="External" Id="rId6"/><Relationship Type="http://schemas.openxmlformats.org/officeDocument/2006/relationships/hyperlink" Target="https://www.detmir.ru/catalog/index/name/straps/pol-malchik/" TargetMode="External" Id="rId7"/><Relationship Type="http://schemas.openxmlformats.org/officeDocument/2006/relationships/hyperlink" Target="https://www.detmir.ru/product/index/id/6391235/" TargetMode="External" Id="rId8"/><Relationship Type="http://schemas.openxmlformats.org/officeDocument/2006/relationships/hyperlink" Target="https://www.detmir.ru/product/index/id/6622893/" TargetMode="External" Id="rId9"/><Relationship Type="http://schemas.openxmlformats.org/officeDocument/2006/relationships/hyperlink" Target="https://www.detmir.ru/product/index/id/6037286/" TargetMode="External" Id="rId10"/><Relationship Type="http://schemas.openxmlformats.org/officeDocument/2006/relationships/hyperlink" Target="https://www.detmir.ru/product/index/id/7069266/" TargetMode="External" Id="rId11"/><Relationship Type="http://schemas.openxmlformats.org/officeDocument/2006/relationships/hyperlink" Target="https://www.detmir.ru/search/results/?qt=%D0%B0%D0%BB%D1%8C%D0%B1%D0%BE%D0%BC" TargetMode="External" Id="rId12"/><Relationship Type="http://schemas.openxmlformats.org/officeDocument/2006/relationships/hyperlink" Target="https://www.detmir.ru/catalog/index/name/cyrkuli/tip_cherchenie-gotovalnya/" TargetMode="External" Id="rId13"/><Relationship Type="http://schemas.openxmlformats.org/officeDocument/2006/relationships/hyperlink" Target="https://www.detmir.ru/product/index/id/6430833/" TargetMode="External" Id="rId14"/><Relationship Type="http://schemas.openxmlformats.org/officeDocument/2006/relationships/hyperlink" Target="https://www.detmir.ru/product/index/id/6462321/" TargetMode="External" Id="rId15"/><Relationship Type="http://schemas.openxmlformats.org/officeDocument/2006/relationships/hyperlink" Target="https://www.detmir.ru/search/results/?qt=%D0%B4%D0%BE%D1%81%D0%BA%D0%B0%20%D0%B4%D0%BB%D1%8F%20%D0%BB%D0%B5%D0%BF%D0%BA%D0%B8" TargetMode="External" Id="rId16"/><Relationship Type="http://schemas.openxmlformats.org/officeDocument/2006/relationships/hyperlink" Target="https://www.detmir.ru/search/results/?qt=%D0%B7%D0%B0%D0%BA%D0%BB%D0%B0%D0%B4%D0%BA%D0%B8%20%D0%B4%D0%BB%D1%8F%20%D0%BA%D0%BD%D0%B8%D0%B3" TargetMode="External" Id="rId17"/><Relationship Type="http://schemas.openxmlformats.org/officeDocument/2006/relationships/hyperlink" Target="https://www.detmir.ru/search/results/?qt=%D0%BA%D0%B0%D1%80%D0%B0%D0%BD%D0%B4%D0%B0%D1%88%20HB" TargetMode="External" Id="rId18"/><Relationship Type="http://schemas.openxmlformats.org/officeDocument/2006/relationships/hyperlink" Target="https://www.detmir.ru/product/index/id/6016009/" TargetMode="External" Id="rId19"/><Relationship Type="http://schemas.openxmlformats.org/officeDocument/2006/relationships/hyperlink" Target="https://www.detmir.ru/search/results/?qt=%D0%BA%D0%B0%D1%80%D1%82%D0%BE%D0%BD%20%D1%86%D0%B2%D0%B5%D1%82%D0%BD%D0%BE%D0%B9" TargetMode="External" Id="rId20"/><Relationship Type="http://schemas.openxmlformats.org/officeDocument/2006/relationships/hyperlink" Target="https://www.detmir.ru/search/results/?qt=%D0%BA%D0%BB%D0%B5%D0%B9%20%D0%9F%D0%92%D0%90" TargetMode="External" Id="rId21"/><Relationship Type="http://schemas.openxmlformats.org/officeDocument/2006/relationships/hyperlink" Target="https://www.detmir.ru/search/results/?qt=%D0%BA%D0%BB%D0%B5%D0%B9-%D0%BA%D0%B0%D1%80%D0%B0%D0%BD%D0%B4%D0%B0%D1%88" TargetMode="External" Id="rId22"/><Relationship Type="http://schemas.openxmlformats.org/officeDocument/2006/relationships/hyperlink" Target="https://www.detmir.ru/search/results/?qt=%D0%BA%D0%BE%D1%80%D1%80%D0%B5%D0%BA%D1%82%D0%BE%D1%80%20%D1%88%D0%BA%D0%BE%D0%BB%D1%8C%D0%BD%D1%8B%D0%B9" TargetMode="External" Id="rId23"/><Relationship Type="http://schemas.openxmlformats.org/officeDocument/2006/relationships/hyperlink" Target="https://www.detmir.ru/search/results/?qt=%D0%BB%D0%B0%D1%81%D1%82%D0%B8%D0%BA" TargetMode="External" Id="rId24"/><Relationship Type="http://schemas.openxmlformats.org/officeDocument/2006/relationships/hyperlink" Target="https://www.detmir.ru/search/results/?qt=%D0%BB%D0%B8%D0%BD%D0%B5%D0%B9%D0%BA%D0%B0%2020" TargetMode="External" Id="rId25"/><Relationship Type="http://schemas.openxmlformats.org/officeDocument/2006/relationships/hyperlink" Target="https://www.detmir.ru/search/results/?qt=%D0%BA%D0%B8%D1%81%D1%82%D0%B8" TargetMode="External" Id="rId26"/><Relationship Type="http://schemas.openxmlformats.org/officeDocument/2006/relationships/hyperlink" Target="https://www.detmir.ru/product/index/id/6724733/" TargetMode="External" Id="rId27"/><Relationship Type="http://schemas.openxmlformats.org/officeDocument/2006/relationships/hyperlink" Target="https://www.detmir.ru/search/results/?qt=%D0%BD%D0%B5%D0%BF%D1%80%D0%BE%D0%BB%D0%B8%D0%B2%D0%B0%D0%B9%D0%BA%D0%B0" TargetMode="External" Id="rId28"/><Relationship Type="http://schemas.openxmlformats.org/officeDocument/2006/relationships/hyperlink" Target="https://www.detmir.ru/search/results/?qt=%D0%BD%D0%BE%D0%B6%D0%BD%D0%B8%D1%86%D1%8B%20%D0%B4%D0%B5%D1%82%D1%81%D0%BA%D0%B8%D0%B5" TargetMode="External" Id="rId29"/><Relationship Type="http://schemas.openxmlformats.org/officeDocument/2006/relationships/hyperlink" Target="https://www.detmir.ru/product/index/id/6442038/" TargetMode="External" Id="rId30"/><Relationship Type="http://schemas.openxmlformats.org/officeDocument/2006/relationships/hyperlink" Target="https://www.detmir.ru/catalog/index/name/cover_notebook/" TargetMode="External" Id="rId31"/><Relationship Type="http://schemas.openxmlformats.org/officeDocument/2006/relationships/hyperlink" Target="https://www.detmir.ru/search/results/?qt=%D0%BF%D0%B0%D0%BF%D0%BA%D0%B0%20%D0%B4%D0%BB%D1%8F%20%D1%82%D0%B5%D1%82%D1%80%D0%B0%D0%B4%D0%B5%D0%B9" TargetMode="External" Id="rId32"/><Relationship Type="http://schemas.openxmlformats.org/officeDocument/2006/relationships/hyperlink" Target="https://www.detmir.ru/search/results/?qt=%D0%BF%D0%B0%D0%BF%D0%BA%D0%B0%20%D0%B4%D0%BB%D1%8F%20%D1%82%D1%80%D1%83%D0%B4%D0%B0" TargetMode="External" Id="rId33"/><Relationship Type="http://schemas.openxmlformats.org/officeDocument/2006/relationships/hyperlink" Target="https://www.detmir.ru/product/index/id/6400444/" TargetMode="External" Id="rId34"/><Relationship Type="http://schemas.openxmlformats.org/officeDocument/2006/relationships/hyperlink" Target="https://www.detmir.ru/search/results/?qt=%D0%BF%D0%BB%D0%B0%D1%81%D1%82%D0%B8%D0%BB%D0%B8%D0%BD" TargetMode="External" Id="rId35"/><Relationship Type="http://schemas.openxmlformats.org/officeDocument/2006/relationships/hyperlink" Target="https://www.detmir.ru/product/index/id/6505850/" TargetMode="External" Id="rId36"/><Relationship Type="http://schemas.openxmlformats.org/officeDocument/2006/relationships/hyperlink" Target="https://www.detmir.ru/search/results/?qt=%D1%82%D0%B5%D1%82%D1%80%D0%B0%D0%B4%D1%8C%2018%20%D0%BB%D0%B8%D1%81%D1%82%D0%BE%D0%B2%20%D1%82%D0%B2%D0%B5%D1%80%D0%B4%D0%B0%D1%8F%20%D0%BE%D0%B1%D0%BB%D0%BE%D0%B6%D0%BA%D0%B0%20%D0%BA%D0%BB%D0%B5%D1%82%D0%BA%D0%B0" TargetMode="External" Id="rId37"/><Relationship Type="http://schemas.openxmlformats.org/officeDocument/2006/relationships/hyperlink" Target="https://www.detmir.ru/product/index/id/6683471/" TargetMode="External" Id="rId38"/><Relationship Type="http://schemas.openxmlformats.org/officeDocument/2006/relationships/hyperlink" Target="https://www.detmir.ru/search/results/?qt=%D1%82%D0%BE%D1%87%D0%B8%D0%BB%D0%BA%D0%B0" TargetMode="External" Id="rId39"/><Relationship Type="http://schemas.openxmlformats.org/officeDocument/2006/relationships/hyperlink" Target="https://www.detmir.ru/search/results/?qt=%D1%83%D1%87%D0%B5%D0%B1%D0%BD%D1%8B%D0%B5%20%D0%BF%D0%BE%D1%81%D0%BE%D0%B1%D0%B8%D1%8F" TargetMode="External" Id="rId40"/><Relationship Type="http://schemas.openxmlformats.org/officeDocument/2006/relationships/hyperlink" Target="https://www.detmir.ru/product/index/id/3293711/" TargetMode="External" Id="rId41"/><Relationship Type="http://schemas.openxmlformats.org/officeDocument/2006/relationships/hyperlink" Target="https://www.detmir.ru/search/results/?qt=%D1%86%D0%B2%D0%B5%D1%82%D0%BD%D0%B0%D1%8F%20%D0%B1%D1%83%D0%BC%D0%B0%D0%B3%D0%B0" TargetMode="External" Id="rId42"/></Relationships>
</file>

<file path=xl/worksheets/_rels/sheet16.xml.rels><Relationships xmlns="http://schemas.openxmlformats.org/package/2006/relationships"><Relationship Type="http://schemas.openxmlformats.org/officeDocument/2006/relationships/hyperlink" Target="https://www.eapteka.ru/goods/id215357/" TargetMode="External" Id="rId1"/><Relationship Type="http://schemas.openxmlformats.org/officeDocument/2006/relationships/hyperlink" Target="https://www.eapteka.ru/search/?q=%D0%B9%D0%BE%D0%B4" TargetMode="External" Id="rId2"/><Relationship Type="http://schemas.openxmlformats.org/officeDocument/2006/relationships/hyperlink" Target="https://apteka.magnit.ru/product/7000001484-makmiror_tabletki_200mg_20sht" TargetMode="External" Id="rId3"/><Relationship Type="http://schemas.openxmlformats.org/officeDocument/2006/relationships/hyperlink" Target="https://www.eapteka.ru/search/?q=%D0%BD%D0%B0%D0%B7%D0%B8%D0%B2%D0%B8%D0%BD" TargetMode="External" Id="rId4"/><Relationship Type="http://schemas.openxmlformats.org/officeDocument/2006/relationships/hyperlink" Target="https://www.eapteka.ru/search/?q=%D0%BF%D0%B5%D1%80%D0%B5%D0%BA%D0%B8%D1%81%D1%8C%20%D0%B2%D0%BE%D0%B4%D0%BE%D1%80%D0%BE%D0%B4%D0%B0" TargetMode="External" Id="rId5"/><Relationship Type="http://schemas.openxmlformats.org/officeDocument/2006/relationships/hyperlink" Target="https://www.eapteka.ru/search/?q=%D0%BF%D0%B8%D1%80%D0%B0%D0%BD%D1%82%D0%B5%D0%BB%20%D1%81%D1%83%D1%81%D0%BF%D0%B5%D0%BD%D0%B7%D0%B8%D1%8F" TargetMode="External" Id="rId6"/><Relationship Type="http://schemas.openxmlformats.org/officeDocument/2006/relationships/hyperlink" Target="https://www.eapteka.ru/search/?q=%D0%BF%D0%BB%D0%B0%D1%81%D1%82%D1%8B%D1%80%D1%8C" TargetMode="External" Id="rId7"/><Relationship Type="http://schemas.openxmlformats.org/officeDocument/2006/relationships/hyperlink" Target="https://www.eapteka.ru/search/?q=%D1%83%D1%88%D0%BD%D1%8B%D0%B5%20%D0%BA%D0%B0%D0%BF%D0%BB%D0%B8" TargetMode="External" Id="rId8"/></Relationships>
</file>

<file path=xl/worksheets/_rels/sheet22.xml.rels><Relationships xmlns="http://schemas.openxmlformats.org/package/2006/relationships"><Relationship Type="http://schemas.openxmlformats.org/officeDocument/2006/relationships/hyperlink" Target="https://magnit.ru/catalog?q=ariel%20color%206" TargetMode="External" Id="rId1"/><Relationship Type="http://schemas.openxmlformats.org/officeDocument/2006/relationships/hyperlink" Target="https://magnit.ru/catalog?q=lenor" TargetMode="External" Id="rId2"/><Relationship Type="http://schemas.openxmlformats.org/officeDocument/2006/relationships/hyperlink" Target="https://magnit.ru/catalog?q=%D0%B2%D0%B0%D1%82%D0%BD%D1%8B%D0%B5%20%D0%B4%D0%B8%D1%81%D0%BA%D0%B8" TargetMode="External" Id="rId3"/><Relationship Type="http://schemas.openxmlformats.org/officeDocument/2006/relationships/hyperlink" Target="https://magnit.ru/catalog?q=%D0%B2%D0%B0%D1%82%D0%BD%D1%8B%D0%B5%20%D0%BF%D0%B0%D0%BB%D0%BE%D1%87%D0%BA%D0%B8" TargetMode="External" Id="rId4"/><Relationship Type="http://schemas.openxmlformats.org/officeDocument/2006/relationships/hyperlink" Target="https://magnit.ru/catalog?q=%D0%BC%D1%8B%D0%BB%D0%BE%20%D1%82%D1%83%D0%B0%D0%BB%D0%B5%D1%82%D0%BD%D0%BE%D0%B5" TargetMode="External" Id="rId5"/></Relationships>
</file>

<file path=xl/worksheets/_rels/sheet23.xml.rels><Relationships xmlns="http://schemas.openxmlformats.org/package/2006/relationships"><Relationship Type="http://schemas.openxmlformats.org/officeDocument/2006/relationships/hyperlink" Target="https://leroymerlin.ru/search/?q=%D0%B3%D1%80%D0%B0%D1%84%D0%B8%D0%BD%20%D0%B4%D0%BB%D1%8F%20%D0%B2%D0%BE%D0%B4%D1%8B" TargetMode="External" Id="rId1"/><Relationship Type="http://schemas.openxmlformats.org/officeDocument/2006/relationships/hyperlink" Target="https://barrier.ru/" TargetMode="External" Id="rId2"/><Relationship Type="http://schemas.openxmlformats.org/officeDocument/2006/relationships/hyperlink" Target="https://leroymerlin.ru/search/?q=%D0%BA%D0%BE%D0%BD%D1%82%D0%B5%D0%B9%D0%BD%D0%B5%D1%80%20%D0%B4%D0%BB%D1%8F%20%D0%BA%D1%80%D1%83%D0%BF" TargetMode="External" Id="rId3"/><Relationship Type="http://schemas.openxmlformats.org/officeDocument/2006/relationships/hyperlink" Target="https://www.dns-shop.ru/search/?q=%D0%BD%D0%B0%D0%B1%D0%BE%D1%80%20%D0%BA%D0%B0%D1%81%D1%82%D1%80%D1%8E%D0%BB%D1%8C%20%D0%BD%D0%B5%D1%80%D0%B6%D0%B0%D0%B2%D0%B5%D1%8E%D1%89%D0%B0%D1%8F" TargetMode="External" Id="rId4"/><Relationship Type="http://schemas.openxmlformats.org/officeDocument/2006/relationships/hyperlink" Target="https://www.dns-shop.ru/search/?q=%D0%BD%D0%B0%D0%B1%D0%BE%D1%80%20%D0%BA%D0%B0%D1%81%D1%82%D1%80%D1%8E%D0%BB%D1%8C" TargetMode="External" Id="rId5"/><Relationship Type="http://schemas.openxmlformats.org/officeDocument/2006/relationships/hyperlink" Target="https://leroymerlin.ru/search/?q=%D0%BD%D0%BE%D0%B6%20%D1%81%D1%82%D0%BE%D0%BB%D0%BE%D0%B2%D1%8B%D0%B9" TargetMode="External" Id="rId6"/><Relationship Type="http://schemas.openxmlformats.org/officeDocument/2006/relationships/hyperlink" Target="https://leroymerlin.ru/search/?q=%D0%B4%D0%BE%D1%81%D0%BA%D0%B0%20%D1%80%D0%B0%D0%B7%D0%B4%D0%B5%D0%BB%D0%BE%D1%87%D0%BD%D0%B0%D1%8F" TargetMode="External" Id="rId7"/><Relationship Type="http://schemas.openxmlformats.org/officeDocument/2006/relationships/hyperlink" Target="https://leroymerlin.ru/search/?q=%D1%81%D0%B0%D0%BB%D0%B0%D1%82%D0%BD%D0%B8%D0%BA" TargetMode="External" Id="rId8"/><Relationship Type="http://schemas.openxmlformats.org/officeDocument/2006/relationships/hyperlink" Target="https://www.dns-shop.ru/search/?q=%D1%81%D0%BA%D0%BE%D0%B2%D0%BE%D1%80%D0%BE%D0%B4%D0%B0" TargetMode="External" Id="rId9"/><Relationship Type="http://schemas.openxmlformats.org/officeDocument/2006/relationships/hyperlink" Target="https://leroymerlin.ru/search/?q=%D0%BB%D0%BE%D0%B6%D0%BA%D0%B0%20%D1%81%D1%82%D0%BE%D0%BB%D0%BE%D0%B2%D0%B0%D1%8F" TargetMode="External" Id="rId10"/><Relationship Type="http://schemas.openxmlformats.org/officeDocument/2006/relationships/hyperlink" Target="https://leroymerlin.ru/search/?q=%D1%82%D0%B0%D1%80%D0%B5%D0%BB%D0%BA%D0%B0%20%D0%B3%D0%BB%D1%83%D0%B1%D0%BE%D0%BA%D0%B0%D1%8F" TargetMode="External" Id="rId11"/><Relationship Type="http://schemas.openxmlformats.org/officeDocument/2006/relationships/hyperlink" Target="https://leroymerlin.ru/search/?q=%D1%82%D0%B0%D1%80%D0%B5%D0%BB%D0%BA%D0%B0%20%D0%BC%D0%B5%D0%BB%D0%BA%D0%B0%D1%8F" TargetMode="External" Id="rId12"/><Relationship Type="http://schemas.openxmlformats.org/officeDocument/2006/relationships/hyperlink" Target="https://leroymerlin.ru/search/?q=%D1%82%D0%B5%D1%80%D0%BA%D0%B0" TargetMode="External" Id="rId13"/><Relationship Type="http://schemas.openxmlformats.org/officeDocument/2006/relationships/hyperlink" Target="https://leroymerlin.ru/search/?q=%D0%BB%D0%BE%D0%B6%D0%BA%D0%B0%20%D1%87%D0%B0%D0%B9%D0%BD%D0%B0%D1%8F" TargetMode="External" Id="rId14"/><Relationship Type="http://schemas.openxmlformats.org/officeDocument/2006/relationships/hyperlink" Target="https://www.dns-shop.ru/search/?q=%D1%87%D0%B0%D0%B9%D0%BD%D0%B8%D0%BA%20tefal" TargetMode="External" Id="rId15"/><Relationship Type="http://schemas.openxmlformats.org/officeDocument/2006/relationships/hyperlink" Target="https://leroymerlin.ru/search/?q=%D1%87%D0%B0%D1%88%D0%BA%D0%B0" TargetMode="External" Id="rId16"/></Relationships>
</file>

<file path=xl/worksheets/_rels/sheet24.xml.rels><Relationships xmlns="http://schemas.openxmlformats.org/package/2006/relationships"><Relationship Type="http://schemas.openxmlformats.org/officeDocument/2006/relationships/hyperlink" Target="https://www.dns-shop.ru/search/?q=%D0%BA%D0%BE%D0%BB%D0%BE%D0%BD%D0%BA%D0%B0%20sony" TargetMode="External" Id="rId1"/><Relationship Type="http://schemas.openxmlformats.org/officeDocument/2006/relationships/hyperlink" Target="https://www.dns-shop.ru/search/?q=%D0%BC%D0%B8%D0%BA%D1%80%D0%BE%D0%B2%D0%BE%D0%BB%D0%BD%D0%BE%D0%B2%D0%BA%D0%B0" TargetMode="External" Id="rId2"/><Relationship Type="http://schemas.openxmlformats.org/officeDocument/2006/relationships/hyperlink" Target="https://www.dns-shop.ru/search/?q=%D0%BC%D1%83%D0%BB%D1%8C%D1%82%D0%B8%D0%B2%D0%B0%D1%80%D0%BA%D0%B0" TargetMode="External" Id="rId3"/><Relationship Type="http://schemas.openxmlformats.org/officeDocument/2006/relationships/hyperlink" Target="https://www.dns-shop.ru/search/?q=%D0%BC%D1%8F%D1%81%D0%BE%D1%80%D1%83%D0%B1%D0%BA%D0%B0" TargetMode="External" Id="rId4"/><Relationship Type="http://schemas.openxmlformats.org/officeDocument/2006/relationships/hyperlink" Target="https://www.dns-shop.ru/search/?q=%D0%BF%D0%B0%D1%80%D0%BE%D0%B2%D0%B0%D1%80%D0%BA%D0%B0" TargetMode="External" Id="rId5"/><Relationship Type="http://schemas.openxmlformats.org/officeDocument/2006/relationships/hyperlink" Target="https://www.dns-shop.ru/search/?q=%D0%BF%D0%BB%D0%B8%D1%82%D0%B0%20%D0%B3%D0%B0%D0%B7%D0%BE%D0%B2%D0%B0%D1%8F" TargetMode="External" Id="rId6"/><Relationship Type="http://schemas.openxmlformats.org/officeDocument/2006/relationships/hyperlink" Target="https://www.dns-shop.ru/search/?q=%D1%81%D0%BE%D0%BA%D0%BE%D0%B2%D1%8B%D0%B6%D0%B8%D0%BC%D0%B0%D0%BB%D0%BA%D0%B0" TargetMode="External" Id="rId7"/><Relationship Type="http://schemas.openxmlformats.org/officeDocument/2006/relationships/hyperlink" Target="https://www.dns-shop.ru/search/?q=%D1%81%D1%82%D0%B8%D1%80%D0%B0%D0%BB%D1%8C%D0%BD%D0%B0%D1%8F%20%D0%BC%D0%B0%D1%88%D0%B8%D0%BD%D0%B0%20Bosch" TargetMode="External" Id="rId8"/><Relationship Type="http://schemas.openxmlformats.org/officeDocument/2006/relationships/hyperlink" Target="https://www.dns-shop.ru/search/?q=%D1%82%D0%B5%D0%BB%D0%B5%D0%B2%D0%B8%D0%B7%D0%BE%D1%80" TargetMode="External" Id="rId9"/><Relationship Type="http://schemas.openxmlformats.org/officeDocument/2006/relationships/hyperlink" Target="https://www.dns-shop.ru/search/?q=%D1%82%D0%BE%D1%81%D1%82%D0%B5%D1%80" TargetMode="External" Id="rId10"/><Relationship Type="http://schemas.openxmlformats.org/officeDocument/2006/relationships/hyperlink" Target="https://barrier.ru/" TargetMode="External" Id="rId11"/><Relationship Type="http://schemas.openxmlformats.org/officeDocument/2006/relationships/hyperlink" Target="https://www.dns-shop.ru/search/?q=%D1%85%D0%BE%D0%BB%D0%BE%D0%B4%D0%B8%D0%BB%D1%8C%D0%BD%D0%B8%D0%BA" TargetMode="External" Id="rId12"/><Relationship Type="http://schemas.openxmlformats.org/officeDocument/2006/relationships/hyperlink" Target="https://www.dns-shop.ru/search/?q=%D1%87%D0%B0%D0%B9%D0%BD%D0%B8%D0%BA" TargetMode="External" Id="rId13"/></Relationships>
</file>

<file path=xl/worksheets/_rels/sheet25.xml.rels><Relationships xmlns="http://schemas.openxmlformats.org/package/2006/relationships"><Relationship Type="http://schemas.openxmlformats.org/officeDocument/2006/relationships/hyperlink" Target="https://leroymerlin.ru/search/?q=%D0%B3%D0%BB%D0%B0%D0%B4%D0%B8%D0%BB%D1%8C%D0%BD%D0%B0%D1%8F%20%D0%B4%D0%BE%D1%81%D0%BA%D0%B0" TargetMode="External" Id="rId1"/><Relationship Type="http://schemas.openxmlformats.org/officeDocument/2006/relationships/hyperlink" Target="https://lemanapro.ru/catalogue/kuhni/" TargetMode="External" Id="rId2"/><Relationship Type="http://schemas.openxmlformats.org/officeDocument/2006/relationships/hyperlink" Target="https://leroymerlin.ru/search/?q=%D0%BC%D1%83%D1%81%D0%BE%D1%80%D0%BD%D0%BE%D0%B5%20%D0%B2%D0%B5%D0%B4%D1%80%D0%BE" TargetMode="External" Id="rId3"/><Relationship Type="http://schemas.openxmlformats.org/officeDocument/2006/relationships/hyperlink" Target="https://www.dns-shop.ru/search/?q=%D0%BE%D1%82%D0%BF%D0%B0%D1%80%D0%B8%D0%B2%D0%B0%D1%82%D0%B5%D0%BB%D1%8C" TargetMode="External" Id="rId4"/><Relationship Type="http://schemas.openxmlformats.org/officeDocument/2006/relationships/hyperlink" Target="https://leroymerlin.ru/search/?q=%D0%BF%D0%BE%D0%BB%D0%BE%D1%82%D0%B5%D0%BD%D1%86%D0%B5" TargetMode="External" Id="rId5"/><Relationship Type="http://schemas.openxmlformats.org/officeDocument/2006/relationships/hyperlink" Target="https://www.dns-shop.ru/search/?q=%D0%BF%D1%8B%D0%BB%D0%B5%D1%81%D0%BE%D1%81" TargetMode="External" Id="rId6"/><Relationship Type="http://schemas.openxmlformats.org/officeDocument/2006/relationships/hyperlink" Target="https://leroymerlin.ru/search/?q=%D1%81%D0%BE%D0%B2%D0%BE%D0%BA%20%D0%BC%D0%B5%D1%82%D0%BB%D0%B0" TargetMode="External" Id="rId7"/><Relationship Type="http://schemas.openxmlformats.org/officeDocument/2006/relationships/hyperlink" Target="https://leroymerlin.ru/search/?q=%D1%81%D1%82%D0%BE%D0%BB%20%D0%B6%D1%83%D1%80%D0%BD%D0%B0%D0%BB%D1%8C%D0%BD%D1%8B%D0%B9" TargetMode="External" Id="rId8"/><Relationship Type="http://schemas.openxmlformats.org/officeDocument/2006/relationships/hyperlink" Target="https://leroymerlin.ru/search/?q=%D1%82%D1%83%D0%BC%D0%B1%D0%B0%20%D0%BF%D0%BE%D0%B4%20%D1%82%D0%B5%D0%BB%D0%B5%D0%B2%D0%B8%D0%B7%D0%BE%D1%80" TargetMode="External" Id="rId9"/><Relationship Type="http://schemas.openxmlformats.org/officeDocument/2006/relationships/hyperlink" Target="https://www.dns-shop.ru/search/?q=%D1%83%D1%82%D1%8E%D0%B3" TargetMode="External" Id="rId10"/><Relationship Type="http://schemas.openxmlformats.org/officeDocument/2006/relationships/hyperlink" Target="https://leroymerlin.ru/search/?q=%D1%88%D0%BA%D0%B0%D1%84%20%D1%83%D0%B3%D0%BB%D0%BE%D0%B2%D0%BE%D0%B9" TargetMode="External" Id="rId11"/></Relationships>
</file>

<file path=xl/worksheets/_rels/sheet26.xml.rels><Relationships xmlns="http://schemas.openxmlformats.org/package/2006/relationships"><Relationship Type="http://schemas.openxmlformats.org/officeDocument/2006/relationships/hyperlink" Target="https://leroymerlin.ru/search/?q=%D0%B5%D0%BB%D0%BA%D0%B0%20%D0%B8%D1%81%D0%BA%D1%83%D1%81%D1%81%D1%82%D0%B2%D0%B5%D0%BD%D0%BD%D0%B0%D1%8F" TargetMode="External" Id="rId1"/><Relationship Type="http://schemas.openxmlformats.org/officeDocument/2006/relationships/hyperlink" Target="https://leroymerlin.ru/search/?q=%D1%83%D0%BA%D1%80%D0%B0%D1%88%D0%B5%D0%BD%D0%B8%D1%8F%20%D0%BD%D0%B0%20%D0%B5%D0%BB%D0%BA%D1%83" TargetMode="External" Id="rId2"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/>
  </sheetPr>
  <dimension ref="A1:B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Как пользоваться</t>
        </is>
      </c>
    </row>
    <row r="2">
      <c r="A2" s="2" t="inlineStr">
        <is>
          <t>Наименование, количество, стоимость. Дальше либо срок службы в годах, либо сколько раз в месяц.</t>
        </is>
      </c>
    </row>
    <row r="4" ht="28" customHeight="1">
      <c r="A4" s="3" t="inlineStr">
        <is>
          <t>Что</t>
        </is>
      </c>
      <c r="B4" s="3" t="inlineStr">
        <is>
          <t>Зачем</t>
        </is>
      </c>
    </row>
    <row r="5">
      <c r="A5" s="4" t="inlineStr">
        <is>
          <t>Покупка</t>
        </is>
      </c>
      <c r="B5" s="5" t="inlineStr">
        <is>
          <t>Срок службы (лет). В год = стоимость × количество ÷ срок ÷ делим.</t>
        </is>
      </c>
    </row>
    <row r="6">
      <c r="A6" s="4" t="inlineStr">
        <is>
          <t>Продукты и секции</t>
        </is>
      </c>
      <c r="B6" s="5" t="inlineStr">
        <is>
          <t>Период: неделя / месяц / год. В год = стоимость × количество × 52 / 12 / 1.</t>
        </is>
      </c>
    </row>
    <row r="7">
      <c r="A7" s="4" t="inlineStr">
        <is>
          <t>Делим = 1</t>
        </is>
      </c>
      <c r="B7" s="5" t="inlineStr">
        <is>
          <t>Целиком на этого ребёнка.</t>
        </is>
      </c>
    </row>
    <row r="8">
      <c r="A8" s="4" t="inlineStr">
        <is>
          <t>Делим = 3</t>
        </is>
      </c>
      <c r="B8" s="5" t="inlineStr">
        <is>
          <t>Общее на семью.</t>
        </is>
      </c>
    </row>
    <row r="9">
      <c r="A9" s="4" t="inlineStr">
        <is>
          <t>Строки</t>
        </is>
      </c>
      <c r="B9" s="5" t="inlineStr">
        <is>
          <t>Внутри блока по алфавиту.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9A227"/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</cols>
  <sheetData>
    <row r="1">
      <c r="A1" s="6" t="inlineStr">
        <is>
          <t>Сводка — один ребёнок</t>
        </is>
      </c>
    </row>
    <row r="4" ht="28" customHeight="1">
      <c r="A4" s="3" t="inlineStr">
        <is>
          <t>Блок</t>
        </is>
      </c>
      <c r="B4" s="3" t="inlineStr">
        <is>
          <t>В год, ₽</t>
        </is>
      </c>
      <c r="C4" s="3" t="inlineStr">
        <is>
          <t>В месяц, ₽</t>
        </is>
      </c>
    </row>
    <row r="5">
      <c r="A5" s="7" t="inlineStr">
        <is>
          <t>Аксессуары покупки</t>
        </is>
      </c>
      <c r="B5" s="8">
        <f>'Аксессуары покупки'!G16</f>
        <v/>
      </c>
      <c r="C5" s="8">
        <f>'Аксессуары покупки'!H16</f>
        <v/>
      </c>
    </row>
    <row r="6">
      <c r="A6" s="9" t="inlineStr">
        <is>
          <t>Бельё покупки</t>
        </is>
      </c>
      <c r="B6" s="8">
        <f>'Бельё покупки'!G11</f>
        <v/>
      </c>
      <c r="C6" s="8">
        <f>'Бельё покупки'!H11</f>
        <v/>
      </c>
    </row>
    <row r="7">
      <c r="A7" s="7" t="inlineStr">
        <is>
          <t>Верхняя одежда покупки</t>
        </is>
      </c>
      <c r="B7" s="8">
        <f>'Верхняя одежда покупки'!G11</f>
        <v/>
      </c>
      <c r="C7" s="8">
        <f>'Верхняя одежда покупки'!H11</f>
        <v/>
      </c>
    </row>
    <row r="8">
      <c r="A8" s="9" t="inlineStr">
        <is>
          <t>Комната покупки</t>
        </is>
      </c>
      <c r="B8" s="8">
        <f>'Комната покупки'!G25</f>
        <v/>
      </c>
      <c r="C8" s="8">
        <f>'Комната покупки'!H25</f>
        <v/>
      </c>
    </row>
    <row r="9">
      <c r="A9" s="7" t="inlineStr">
        <is>
          <t>Оборудование покупки</t>
        </is>
      </c>
      <c r="B9" s="8">
        <f>'Оборудование покупки'!G15</f>
        <v/>
      </c>
      <c r="C9" s="8">
        <f>'Оборудование покупки'!H15</f>
        <v/>
      </c>
    </row>
    <row r="10">
      <c r="A10" s="9" t="inlineStr">
        <is>
          <t>Обувь покупки</t>
        </is>
      </c>
      <c r="B10" s="8">
        <f>'Обувь покупки'!G13</f>
        <v/>
      </c>
      <c r="C10" s="8">
        <f>'Обувь покупки'!H13</f>
        <v/>
      </c>
    </row>
    <row r="11">
      <c r="A11" s="7" t="inlineStr">
        <is>
          <t>Одежда второго слоя покупки</t>
        </is>
      </c>
      <c r="B11" s="8">
        <f>'Одежда второго слоя покупки'!G15</f>
        <v/>
      </c>
      <c r="C11" s="8">
        <f>'Одежда второго слоя покупки'!H15</f>
        <v/>
      </c>
    </row>
    <row r="12">
      <c r="A12" s="9" t="inlineStr">
        <is>
          <t>Предметы личного пользования по</t>
        </is>
      </c>
      <c r="B12" s="8">
        <f>'Предметы личного пользования по'!G22</f>
        <v/>
      </c>
      <c r="C12" s="8">
        <f>'Предметы личного пользования по'!H22</f>
        <v/>
      </c>
    </row>
    <row r="13">
      <c r="A13" s="7" t="inlineStr">
        <is>
          <t>Продукты питания покупки</t>
        </is>
      </c>
      <c r="B13" s="8">
        <f>'Продукты питания покупки'!G7</f>
        <v/>
      </c>
      <c r="C13" s="8">
        <f>'Продукты питания покупки'!H7</f>
        <v/>
      </c>
    </row>
    <row r="14">
      <c r="A14" s="9" t="inlineStr">
        <is>
          <t>Спорт и досуг покупки</t>
        </is>
      </c>
      <c r="B14" s="8">
        <f>'Спорт и досуг покупки'!G21</f>
        <v/>
      </c>
      <c r="C14" s="8">
        <f>'Спорт и досуг покупки'!H21</f>
        <v/>
      </c>
    </row>
    <row r="15">
      <c r="A15" s="7" t="inlineStr">
        <is>
          <t>Обязательное образование — школ</t>
        </is>
      </c>
      <c r="B15" s="8">
        <f>'Обязательное образование — школ'!G51</f>
        <v/>
      </c>
      <c r="C15" s="8">
        <f>'Обязательное образование — школ'!H51</f>
        <v/>
      </c>
    </row>
    <row r="16">
      <c r="A16" s="9" t="inlineStr">
        <is>
          <t>Дополнительное образование</t>
        </is>
      </c>
      <c r="B16" s="8">
        <f>'Дополнительное образование'!G9</f>
        <v/>
      </c>
      <c r="C16" s="8">
        <f>'Дополнительное образование'!H9</f>
        <v/>
      </c>
    </row>
    <row r="17">
      <c r="A17" s="7" t="inlineStr">
        <is>
          <t>Лекарства</t>
        </is>
      </c>
      <c r="B17" s="8">
        <f>'Лекарства'!G14</f>
        <v/>
      </c>
      <c r="C17" s="8">
        <f>'Лекарства'!H14</f>
        <v/>
      </c>
    </row>
    <row r="18">
      <c r="A18" s="9" t="inlineStr">
        <is>
          <t>Медицинские услуги</t>
        </is>
      </c>
      <c r="B18" s="8">
        <f>'Медицинские услуги'!G7</f>
        <v/>
      </c>
      <c r="C18" s="8">
        <f>'Медицинские услуги'!H7</f>
        <v/>
      </c>
    </row>
    <row r="19">
      <c r="A19" s="7" t="inlineStr">
        <is>
          <t>Карманные расходы</t>
        </is>
      </c>
      <c r="B19" s="8">
        <f>'Карманные расходы'!F7</f>
        <v/>
      </c>
      <c r="C19" s="8">
        <f>'Карманные расходы'!G7</f>
        <v/>
      </c>
    </row>
    <row r="20">
      <c r="A20" s="9" t="inlineStr">
        <is>
          <t>Оборудование расходы</t>
        </is>
      </c>
      <c r="B20" s="8">
        <f>'Оборудование расходы'!F7</f>
        <v/>
      </c>
      <c r="C20" s="8">
        <f>'Оборудование расходы'!G7</f>
        <v/>
      </c>
    </row>
    <row r="21">
      <c r="A21" s="7" t="inlineStr">
        <is>
          <t>Праздники расходы</t>
        </is>
      </c>
      <c r="B21" s="8">
        <f>'Праздники расходы'!F14</f>
        <v/>
      </c>
      <c r="C21" s="8">
        <f>'Праздники расходы'!G14</f>
        <v/>
      </c>
    </row>
    <row r="22">
      <c r="A22" s="9" t="inlineStr">
        <is>
          <t>Хобби и развлечения расходы</t>
        </is>
      </c>
      <c r="B22" s="8">
        <f>'Хобби и развлечения расходы'!F10</f>
        <v/>
      </c>
      <c r="C22" s="8">
        <f>'Хобби и развлечения расходы'!G10</f>
        <v/>
      </c>
    </row>
    <row r="23">
      <c r="A23" s="7" t="inlineStr">
        <is>
          <t>Бытовая косметика покупки</t>
        </is>
      </c>
      <c r="B23" s="8">
        <f>'Бытовая косметика покупки'!G12</f>
        <v/>
      </c>
      <c r="C23" s="8">
        <f>'Бытовая косметика покупки'!H12</f>
        <v/>
      </c>
    </row>
    <row r="24">
      <c r="A24" s="9" t="inlineStr">
        <is>
          <t>Бытовая посуда покупки</t>
        </is>
      </c>
      <c r="B24" s="8">
        <f>'Бытовая посуда покупки'!G23</f>
        <v/>
      </c>
      <c r="C24" s="8">
        <f>'Бытовая посуда покупки'!H23</f>
        <v/>
      </c>
    </row>
    <row r="25">
      <c r="A25" s="7" t="inlineStr">
        <is>
          <t>Бытовая техника покупки</t>
        </is>
      </c>
      <c r="B25" s="8">
        <f>'Бытовая техника покупки'!G20</f>
        <v/>
      </c>
      <c r="C25" s="8">
        <f>'Бытовая техника покупки'!H20</f>
        <v/>
      </c>
    </row>
    <row r="26">
      <c r="A26" s="9" t="inlineStr">
        <is>
          <t>Мебель и хозяйство покупки</t>
        </is>
      </c>
      <c r="B26" s="8">
        <f>'Мебель и хозяйство покупки'!G18</f>
        <v/>
      </c>
      <c r="C26" s="8">
        <f>'Мебель и хозяйство покупки'!H18</f>
        <v/>
      </c>
    </row>
    <row r="27">
      <c r="A27" s="7" t="inlineStr">
        <is>
          <t>Праздники покупки</t>
        </is>
      </c>
      <c r="B27" s="8">
        <f>'Праздники покупки'!G9</f>
        <v/>
      </c>
      <c r="C27" s="8">
        <f>'Праздники покупки'!H9</f>
        <v/>
      </c>
    </row>
    <row r="28">
      <c r="A28" s="9" t="inlineStr">
        <is>
          <t>Содержание жилья расходы</t>
        </is>
      </c>
      <c r="B28" s="8">
        <f>'Содержание жилья расходы'!E11</f>
        <v/>
      </c>
      <c r="C28" s="8">
        <f>'Содержание жилья расходы'!F11</f>
        <v/>
      </c>
    </row>
    <row r="29">
      <c r="A29" s="7" t="inlineStr">
        <is>
          <t>Хобби и развлечения расходы 2</t>
        </is>
      </c>
      <c r="B29" s="8">
        <f>'Хобби и развлечения расходы 2'!F9</f>
        <v/>
      </c>
      <c r="C29" s="8">
        <f>'Хобби и развлечения расходы 2'!G9</f>
        <v/>
      </c>
    </row>
    <row r="30">
      <c r="A30" s="9" t="inlineStr">
        <is>
          <t>Транспорт расходы</t>
        </is>
      </c>
      <c r="B30" s="8">
        <f>'Транспорт расходы'!E15</f>
        <v/>
      </c>
      <c r="C30" s="8">
        <f>'Транспорт расходы'!F15</f>
        <v/>
      </c>
    </row>
    <row r="31">
      <c r="A31" s="10" t="inlineStr">
        <is>
          <t>СОДЕРЖАНИЕ РЕБЁНКА</t>
        </is>
      </c>
      <c r="B31" s="11">
        <f>SUM(B5:B30)</f>
        <v/>
      </c>
      <c r="C31" s="11">
        <f>SUM(C5:C30)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C9A227"/>
    <outlinePr summaryBelow="1" summaryRight="1"/>
    <pageSetUpPr/>
  </sheetPr>
  <dimension ref="A1:B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1" t="inlineStr">
        <is>
          <t>Группы диаграммы</t>
        </is>
      </c>
    </row>
    <row r="2">
      <c r="A2" s="2" t="inlineStr">
        <is>
          <t>Расход на диаграмме и блоки, которые в него входят.</t>
        </is>
      </c>
    </row>
    <row r="4" ht="28" customHeight="1">
      <c r="A4" s="3" t="inlineStr">
        <is>
          <t>Расход</t>
        </is>
      </c>
      <c r="B4" s="3" t="inlineStr">
        <is>
          <t>Состав блоков</t>
        </is>
      </c>
    </row>
    <row r="5">
      <c r="A5" s="12" t="inlineStr">
        <is>
          <t>Одежда, обувь и аксессуары</t>
        </is>
      </c>
      <c r="B5" s="12" t="inlineStr">
        <is>
          <t>Бельё; Одежда второго слоя; Верхняя одежда; Обувь; Аксессуары</t>
        </is>
      </c>
    </row>
    <row r="6">
      <c r="A6" s="12" t="inlineStr">
        <is>
          <t>Комната и оборудование</t>
        </is>
      </c>
      <c r="B6" s="12" t="inlineStr">
        <is>
          <t>Комната; Оборудование</t>
        </is>
      </c>
    </row>
    <row r="7">
      <c r="A7" s="12" t="inlineStr">
        <is>
          <t>Доля в общих расходах</t>
        </is>
      </c>
      <c r="B7" s="12" t="inlineStr">
        <is>
          <t>Бытовая косметика; Бытовая посуда; Бытовая техника; Мебель и хозяйство; Праздники; Содержание жилья; Хобби и развлечения; Транспорт</t>
        </is>
      </c>
    </row>
    <row r="8">
      <c r="A8" s="12" t="inlineStr">
        <is>
          <t>Школа и образование</t>
        </is>
      </c>
      <c r="B8" s="12" t="inlineStr">
        <is>
          <t>Обязательное образование: школа; Дополнительное образование</t>
        </is>
      </c>
    </row>
    <row r="9">
      <c r="A9" s="13" t="inlineStr">
        <is>
          <t>Предметы личного пользования</t>
        </is>
      </c>
      <c r="B9" s="13" t="inlineStr">
        <is>
          <t>Предметы личного пользования</t>
        </is>
      </c>
    </row>
    <row r="10">
      <c r="A10" s="13" t="inlineStr">
        <is>
          <t>Продукты питания</t>
        </is>
      </c>
      <c r="B10" s="13" t="inlineStr">
        <is>
          <t>Продукты питания</t>
        </is>
      </c>
    </row>
    <row r="11">
      <c r="A11" s="13" t="inlineStr">
        <is>
          <t>Спорт и досуг</t>
        </is>
      </c>
      <c r="B11" s="13" t="inlineStr">
        <is>
          <t>Спорт и досуг</t>
        </is>
      </c>
    </row>
    <row r="12">
      <c r="A12" s="13" t="inlineStr">
        <is>
          <t>Лекарства</t>
        </is>
      </c>
      <c r="B12" s="13" t="inlineStr">
        <is>
          <t>Лекарства</t>
        </is>
      </c>
    </row>
    <row r="13">
      <c r="A13" s="13" t="inlineStr">
        <is>
          <t>Медицинские услуги</t>
        </is>
      </c>
      <c r="B13" s="13" t="inlineStr">
        <is>
          <t>Медицинские услуги</t>
        </is>
      </c>
    </row>
    <row r="14">
      <c r="A14" s="13" t="inlineStr">
        <is>
          <t>Карманные</t>
        </is>
      </c>
      <c r="B14" s="13" t="inlineStr">
        <is>
          <t>Карманные</t>
        </is>
      </c>
    </row>
    <row r="15">
      <c r="A15" s="13" t="inlineStr">
        <is>
          <t>Оборудование</t>
        </is>
      </c>
      <c r="B15" s="13" t="inlineStr">
        <is>
          <t>Оборудование</t>
        </is>
      </c>
    </row>
    <row r="16">
      <c r="A16" s="13" t="inlineStr">
        <is>
          <t>Праздники</t>
        </is>
      </c>
      <c r="B16" s="13" t="inlineStr">
        <is>
          <t>Праздники</t>
        </is>
      </c>
    </row>
    <row r="17">
      <c r="A17" s="13" t="inlineStr">
        <is>
          <t>Хобби и развлечения</t>
        </is>
      </c>
      <c r="B17" s="13" t="inlineStr">
        <is>
          <t>Хобби и развлечения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Аксессуары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Бейсболка</t>
        </is>
      </c>
      <c r="C5" s="15" t="n">
        <v>2</v>
      </c>
      <c r="D5" s="16" t="inlineStr">
        <is>
          <t>https://www.detmir.ru/search/results/?qt=%D0%B1%D0%B5%D0%B9%D1%81%D0%B1%D0%BE%D0%BB%D0%BA%D0%B0</t>
        </is>
      </c>
      <c r="E5" s="17" t="n">
        <v>399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Зонт или дождевик</t>
        </is>
      </c>
      <c r="C6" s="15" t="n">
        <v>1</v>
      </c>
      <c r="D6" s="16" t="inlineStr">
        <is>
          <t>https://www.detmir.ru/search/results/?qt=%D0%B4%D0%BE%D0%B6%D0%B4%D0%B5%D0%B2%D0%B8%D0%BA%20%D0%B4%D0%B5%D1%82%D1%81%D0%BA%D0%B8%D0%B9</t>
        </is>
      </c>
      <c r="E6" s="17" t="n">
        <v>699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Перчатки зимние</t>
        </is>
      </c>
      <c r="C7" s="15" t="n">
        <v>1</v>
      </c>
      <c r="D7" s="16" t="inlineStr">
        <is>
          <t>https://www.detmir.ru/search/results/?qt=%D0%BF%D0%B5%D1%80%D1%87%D0%B0%D1%82%D0%BA%D0%B8%20%D0%B7%D0%B8%D0%BC%D0%BD%D0%B8%D0%B5</t>
        </is>
      </c>
      <c r="E7" s="17" t="n">
        <v>599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Перчатки осенние</t>
        </is>
      </c>
      <c r="C8" s="15" t="n">
        <v>1</v>
      </c>
      <c r="D8" s="16" t="inlineStr">
        <is>
          <t>https://www.detmir.ru/search/results/?qt=%D0%BF%D0%B5%D1%80%D1%87%D0%B0%D1%82%D0%BA%D0%B8</t>
        </is>
      </c>
      <c r="E8" s="17" t="n">
        <v>399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Солнечные очки</t>
        </is>
      </c>
      <c r="C9" s="15" t="n">
        <v>1</v>
      </c>
      <c r="D9" s="16" t="inlineStr">
        <is>
          <t>https://www.detmir.ru/search/results/?qt=PlayToday%20%D0%BE%D1%87%D0%BA%D0%B8</t>
        </is>
      </c>
      <c r="E9" s="17" t="n">
        <v>799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Сумка для коньков</t>
        </is>
      </c>
      <c r="C10" s="15" t="n">
        <v>1</v>
      </c>
      <c r="D10" s="16" t="inlineStr">
        <is>
          <t>https://www.detmir.ru/search/results/?qt=%D1%81%D1%83%D0%BC%D0%BA%D0%B0%20%D0%B4%D0%BB%D1%8F%20%D0%BA%D0%BE%D0%BD%D1%8C%D0%BA%D0%BE%D0%B2</t>
        </is>
      </c>
      <c r="E10" s="17" t="n">
        <v>1100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Сумка для самбо</t>
        </is>
      </c>
      <c r="C11" s="15" t="n">
        <v>1</v>
      </c>
      <c r="D11" s="16" t="inlineStr">
        <is>
          <t>https://www.detmir.ru/search/results/?qt=%D1%81%D0%BF%D0%BE%D1%80%D1%82%D0%B8%D0%B2%D0%BD%D0%B0%D1%8F%20%D1%81%D1%83%D0%BC%D0%BA%D0%B0</t>
        </is>
      </c>
      <c r="E11" s="17" t="n">
        <v>1499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Шапка зимняя</t>
        </is>
      </c>
      <c r="C12" s="15" t="n">
        <v>1</v>
      </c>
      <c r="D12" s="16" t="inlineStr">
        <is>
          <t>https://www.detmir.ru/search/results/?qt=%D1%88%D0%B0%D0%BF%D0%BA%D0%B0%20%D0%B7%D0%B8%D0%BC%D0%BD%D1%8F%D1%8F</t>
        </is>
      </c>
      <c r="E12" s="17" t="n">
        <v>699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Шапка осенняя</t>
        </is>
      </c>
      <c r="C13" s="15" t="n">
        <v>1</v>
      </c>
      <c r="D13" s="16" t="inlineStr">
        <is>
          <t>https://www.detmir.ru/search/results/?qt=%D1%88%D0%B0%D0%BF%D0%BA%D0%B0%20%D0%BE%D1%81%D0%B5%D0%BD%D0%BD%D1%8F%D1%8F</t>
        </is>
      </c>
      <c r="E13" s="17" t="n">
        <v>499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Шарф</t>
        </is>
      </c>
      <c r="C14" s="15" t="n">
        <v>1</v>
      </c>
      <c r="D14" s="16" t="inlineStr">
        <is>
          <t>https://www.detmir.ru/search/results/?qt=%D1%88%D0%B0%D1%80%D1%84</t>
        </is>
      </c>
      <c r="E14" s="17" t="n">
        <v>399</v>
      </c>
      <c r="F14" s="15" t="n">
        <v>2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6">
      <c r="A16" s="10" t="inlineStr">
        <is>
          <t>Итого: Аксессуары</t>
        </is>
      </c>
      <c r="B16" s="10" t="n"/>
      <c r="C16" s="10" t="n"/>
      <c r="D16" s="10" t="n"/>
      <c r="E16" s="10" t="n"/>
      <c r="F16" s="10" t="n"/>
      <c r="G16" s="11">
        <f>G5+G6+G7+G8+G9+G10+G11+G12+G13+G14</f>
        <v/>
      </c>
      <c r="H16" s="11">
        <f>IF(G16=0,0,G16/12)</f>
        <v/>
      </c>
    </row>
  </sheetData>
  <mergeCells count="3">
    <mergeCell ref="A16:F16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Бельё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Майка</t>
        </is>
      </c>
      <c r="C5" s="15" t="n">
        <v>5</v>
      </c>
      <c r="D5" s="16" t="inlineStr">
        <is>
          <t>https://www.detmir.ru/product/index/id/6733145/</t>
        </is>
      </c>
      <c r="E5" s="17" t="n">
        <v>399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Носки обычные, набор 5 пар</t>
        </is>
      </c>
      <c r="C6" s="15" t="n">
        <v>1</v>
      </c>
      <c r="D6" s="16" t="inlineStr">
        <is>
          <t>https://www.detmir.ru/product/index/id/6550049/</t>
        </is>
      </c>
      <c r="E6" s="17" t="n">
        <v>399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Носки утеплённые</t>
        </is>
      </c>
      <c r="C7" s="15" t="n">
        <v>2</v>
      </c>
      <c r="D7" s="16" t="inlineStr">
        <is>
          <t>https://www.detmir.ru/search/results/?qt=%D0%BD%D0%BE%D1%81%D0%BA%D0%B8%20%D0%B7%D0%B8%D0%BC%D0%BD%D0%B8%D0%B5%20%D0%B4%D0%B5%D1%82%D1%81%D0%BA%D0%B8%D0%B5</t>
        </is>
      </c>
      <c r="E7" s="17" t="n">
        <v>399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Термобельё, комплект</t>
        </is>
      </c>
      <c r="C8" s="15" t="n">
        <v>1</v>
      </c>
      <c r="D8" s="16" t="inlineStr">
        <is>
          <t>https://www.detmir.ru/search/results/?qt=%D1%82%D0%B5%D1%80%D0%BC%D0%BE%D0%B1%D0%B5%D0%BB%D1%8C%D0%B5</t>
        </is>
      </c>
      <c r="E8" s="17" t="n">
        <v>1499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Трусы, набор 5 шт.</t>
        </is>
      </c>
      <c r="C9" s="15" t="n">
        <v>1</v>
      </c>
      <c r="D9" s="16" t="inlineStr">
        <is>
          <t>https://www.detmir.ru/product/index/id/7072737/</t>
        </is>
      </c>
      <c r="E9" s="17" t="n">
        <v>799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Итого: Бельё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</sheetData>
  <mergeCells count="3">
    <mergeCell ref="A11:F1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Верхняя одежда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Ветровка</t>
        </is>
      </c>
      <c r="C5" s="15" t="n">
        <v>1</v>
      </c>
      <c r="D5" s="16" t="inlineStr">
        <is>
          <t>https://www.detmir.ru/product/index/id/6022408/</t>
        </is>
      </c>
      <c r="E5" s="17" t="n">
        <v>1299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Куртка зимняя</t>
        </is>
      </c>
      <c r="C6" s="15" t="n">
        <v>2</v>
      </c>
      <c r="D6" s="16" t="inlineStr">
        <is>
          <t>https://www.detmir.ru/product/index/id/7061634/</t>
        </is>
      </c>
      <c r="E6" s="17" t="n">
        <v>4292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Куртка осенняя</t>
        </is>
      </c>
      <c r="C7" s="15" t="n">
        <v>1</v>
      </c>
      <c r="D7" s="16" t="inlineStr">
        <is>
          <t>https://www.wildberries.ru/brands/orby</t>
        </is>
      </c>
      <c r="E7" s="17" t="n">
        <v>2199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Куртка осенняя утеплённая</t>
        </is>
      </c>
      <c r="C8" s="15" t="n">
        <v>1</v>
      </c>
      <c r="D8" s="16" t="inlineStr">
        <is>
          <t>https://www.detmir.ru/search/results/?qt=%D0%BA%D1%83%D1%80%D1%82%D0%BA%D0%B0%20%D0%BE%D1%81%D0%B5%D0%BD%D0%BD%D1%8F%D1%8F%20%D1%83%D1%82%D0%B5%D0%BF%D0%BB%D0%B5%D0%BD%D0%BD%D0%B0%D1%8F%20%D0%BC%D0%B0%D0%BB%D1%8C%D1%87%D0%B8%D0%BA</t>
        </is>
      </c>
      <c r="E8" s="17" t="n">
        <v>2999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Штаны утеплённые</t>
        </is>
      </c>
      <c r="C9" s="15" t="n">
        <v>1</v>
      </c>
      <c r="D9" s="16" t="inlineStr">
        <is>
          <t>https://www.detmir.ru/search/results/?qt=%D1%88%D1%82%D0%B0%D0%BD%D1%8B%20%D1%83%D1%82%D0%B5%D0%BF%D0%BB%D0%B5%D0%BD%D0%BD%D1%8B%D0%B5</t>
        </is>
      </c>
      <c r="E9" s="17" t="n">
        <v>2499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Итого: Верхняя одежда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</sheetData>
  <mergeCells count="3">
    <mergeCell ref="A11:F1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Комната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Вуаль / тюль</t>
        </is>
      </c>
      <c r="C5" s="15" t="n">
        <v>1</v>
      </c>
      <c r="D5" s="16" t="inlineStr">
        <is>
          <t>https://leroymerlin.ru/catalogue/tyul/</t>
        </is>
      </c>
      <c r="E5" s="17" t="n">
        <v>1200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Ковёр на пол</t>
        </is>
      </c>
      <c r="C6" s="15" t="n">
        <v>1</v>
      </c>
      <c r="D6" s="16" t="inlineStr">
        <is>
          <t>https://leroymerlin.ru/catalogue/kovry/</t>
        </is>
      </c>
      <c r="E6" s="17" t="n">
        <v>4000</v>
      </c>
      <c r="F6" s="15" t="n">
        <v>5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Контейнер для игрушек</t>
        </is>
      </c>
      <c r="C7" s="15" t="n">
        <v>1</v>
      </c>
      <c r="D7" s="16" t="inlineStr">
        <is>
          <t>https://www.detmir.ru/search/results/?qt=%D0%BA%D0%BE%D0%BD%D1%82%D0%B5%D0%B9%D0%BD%D0%B5%D1%80%20%D0%B4%D0%BB%D1%8F%20%D0%B8%D0%B3%D1%80%D1%83%D1%88%D0%B5%D0%BA</t>
        </is>
      </c>
      <c r="E7" s="17" t="n">
        <v>2500</v>
      </c>
      <c r="F7" s="15" t="n">
        <v>3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Кресло компьютерное</t>
        </is>
      </c>
      <c r="C8" s="15" t="n">
        <v>1</v>
      </c>
      <c r="D8" s="16" t="inlineStr">
        <is>
          <t>https://www.detmir.ru/search/results/?qt=%D0%BA%D1%80%D0%B5%D1%81%D0%BB%D0%BE</t>
        </is>
      </c>
      <c r="E8" s="17" t="n">
        <v>4499</v>
      </c>
      <c r="F8" s="15" t="n">
        <v>5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Кресло-мешок</t>
        </is>
      </c>
      <c r="C9" s="15" t="n">
        <v>1</v>
      </c>
      <c r="D9" s="16" t="inlineStr">
        <is>
          <t>https://www.detmir.ru/search/results/?qt=%D0%BA%D1%80%D0%B5%D1%81%D0%BB%D0%BE-%D0%BC%D0%B5%D1%88%D0%BE%D0%BA</t>
        </is>
      </c>
      <c r="E9" s="17" t="n">
        <v>5500</v>
      </c>
      <c r="F9" s="15" t="n">
        <v>3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Кровать-машинка</t>
        </is>
      </c>
      <c r="C10" s="15" t="n">
        <v>1</v>
      </c>
      <c r="D10" s="16" t="inlineStr">
        <is>
          <t>https://www.avito.ru/</t>
        </is>
      </c>
      <c r="E10" s="17" t="n">
        <v>30000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Матрас 80×180</t>
        </is>
      </c>
      <c r="C11" s="15" t="n">
        <v>1</v>
      </c>
      <c r="D11" s="16" t="inlineStr">
        <is>
          <t>https://ormatek.com/catalog/matrasy/80x180/</t>
        </is>
      </c>
      <c r="E11" s="17" t="n">
        <v>8000</v>
      </c>
      <c r="F11" s="15" t="n">
        <v>8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Настольная лампа</t>
        </is>
      </c>
      <c r="C12" s="15" t="n">
        <v>1</v>
      </c>
      <c r="D12" s="16" t="inlineStr">
        <is>
          <t>https://www.detmir.ru/search/results/?qt=%D0%BB%D0%B0%D0%BC%D0%BF%D0%B0</t>
        </is>
      </c>
      <c r="E12" s="17" t="n">
        <v>1299</v>
      </c>
      <c r="F12" s="15" t="n">
        <v>3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Ночник у кровати</t>
        </is>
      </c>
      <c r="C13" s="15" t="n">
        <v>1</v>
      </c>
      <c r="D13" s="16" t="inlineStr">
        <is>
          <t>https://www.detmir.ru/search/results/?qt=%D0%BD%D0%BE%D1%87%D0%BD%D0%B8%D0%BA</t>
        </is>
      </c>
      <c r="E13" s="17" t="n">
        <v>899</v>
      </c>
      <c r="F13" s="15" t="n">
        <v>3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Одеяло</t>
        </is>
      </c>
      <c r="C14" s="15" t="n">
        <v>1</v>
      </c>
      <c r="D14" s="16" t="inlineStr">
        <is>
          <t>https://www.detmir.ru/search/results/?qt=%D0%BE%D0%B4%D0%B5%D1%8F%D0%BB%D0%BE</t>
        </is>
      </c>
      <c r="E14" s="17" t="n">
        <v>1500</v>
      </c>
      <c r="F14" s="15" t="n">
        <v>3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Плед / покрывало</t>
        </is>
      </c>
      <c r="C15" s="15" t="n">
        <v>1</v>
      </c>
      <c r="D15" s="16" t="inlineStr">
        <is>
          <t>https://www.detmir.ru/search/results/?qt=%D0%BF%D0%BB%D0%B5%D0%B4</t>
        </is>
      </c>
      <c r="E15" s="17" t="n">
        <v>1999</v>
      </c>
      <c r="F15" s="15" t="n">
        <v>3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Подушка</t>
        </is>
      </c>
      <c r="C16" s="15" t="n">
        <v>1</v>
      </c>
      <c r="D16" s="16" t="inlineStr">
        <is>
          <t>https://www.detmir.ru/search/results/?qt=%D0%BF%D0%BE%D0%B4%D1%83%D1%88%D0%BA%D0%B0</t>
        </is>
      </c>
      <c r="E16" s="17" t="n">
        <v>800</v>
      </c>
      <c r="F16" s="15" t="n">
        <v>3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Подушка диванная</t>
        </is>
      </c>
      <c r="C17" s="15" t="n">
        <v>2</v>
      </c>
      <c r="D17" s="16" t="inlineStr">
        <is>
          <t>https://www.detmir.ru/search/results/?qt=%D0%BF%D0%BE%D0%B4%D1%83%D1%88%D0%BA%D0%B0%20%D0%B4%D0%B5%D0%BA%D0%BE%D1%80%D0%B0%D1%82%D0%B8%D0%B2%D0%BD%D0%B0%D1%8F</t>
        </is>
      </c>
      <c r="E17" s="17" t="n">
        <v>599</v>
      </c>
      <c r="F17" s="15" t="n">
        <v>3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Постельное бельё</t>
        </is>
      </c>
      <c r="C18" s="15" t="n">
        <v>2</v>
      </c>
      <c r="D18" s="16" t="inlineStr">
        <is>
          <t>https://www.detmir.ru/search/results/?qt=%D0%BF%D0%BE%D1%81%D1%82%D0%B5%D0%BB%D1%8C%D0%BD%D0%BE%D0%B5</t>
        </is>
      </c>
      <c r="E18" s="17" t="n">
        <v>1499</v>
      </c>
      <c r="F18" s="15" t="n">
        <v>2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Светильник потолочный</t>
        </is>
      </c>
      <c r="C19" s="15" t="n">
        <v>1</v>
      </c>
      <c r="D19" s="16" t="inlineStr">
        <is>
          <t>https://leroymerlin.ru/catalogue/lyustry/</t>
        </is>
      </c>
      <c r="E19" s="17" t="n">
        <v>6000</v>
      </c>
      <c r="F19" s="15" t="n">
        <v>7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Стеллаж для книг</t>
        </is>
      </c>
      <c r="C20" s="15" t="n">
        <v>1</v>
      </c>
      <c r="D20" s="16" t="inlineStr">
        <is>
          <t>https://www.detmir.ru/catalog/index/name/stellsjy/</t>
        </is>
      </c>
      <c r="E20" s="17" t="n">
        <v>4786</v>
      </c>
      <c r="F20" s="15" t="n">
        <v>5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1" ht="20" customHeight="1">
      <c r="A21" s="14" t="n">
        <v>17</v>
      </c>
      <c r="B21" s="13" t="inlineStr">
        <is>
          <t>Стол письменный</t>
        </is>
      </c>
      <c r="C21" s="15" t="n">
        <v>1</v>
      </c>
      <c r="D21" s="16" t="inlineStr">
        <is>
          <t>https://www.detmir.ru/search/results/?qt=%D1%81%D1%82%D0%BE%D0%BB%20%D0%BF%D0%B8%D1%81%D1%8C%D0%BC%D0%B5%D0%BD%D0%BD%D1%8B%D0%B9</t>
        </is>
      </c>
      <c r="E21" s="17" t="n">
        <v>15000</v>
      </c>
      <c r="F21" s="15" t="n">
        <v>5</v>
      </c>
      <c r="G21" s="8">
        <f>IF(ISNUMBER(F21),IF(F21=0,0,E21*IF(C21=0,1,C21)/F21),IF(F21="неделя",E21*IF(C21=0,1,C21)*52,IF(F21="месяц",E21*IF(C21=0,1,C21)*12,E21*IF(C21=0,1,C21))))</f>
        <v/>
      </c>
      <c r="H21" s="8">
        <f>IF(G21=0,0,G21/12)</f>
        <v/>
      </c>
    </row>
    <row r="22" ht="20" customHeight="1">
      <c r="A22" s="14" t="n">
        <v>18</v>
      </c>
      <c r="B22" s="13" t="inlineStr">
        <is>
          <t>Шкаф для одежды</t>
        </is>
      </c>
      <c r="C22" s="15" t="n">
        <v>1</v>
      </c>
      <c r="D22" s="16" t="inlineStr">
        <is>
          <t>https://leroymerlin.ru/search/?q=%D1%88%D0%BA%D0%B0%D1%84%20%D0%B4%D0%BB%D1%8F%20%D0%BE%D0%B4%D0%B5%D0%B6%D0%B4%D1%8B</t>
        </is>
      </c>
      <c r="E22" s="17" t="n">
        <v>17990</v>
      </c>
      <c r="F22" s="15" t="n">
        <v>7</v>
      </c>
      <c r="G22" s="8">
        <f>IF(ISNUMBER(F22),IF(F22=0,0,E22*IF(C22=0,1,C22)/F22),IF(F22="неделя",E22*IF(C22=0,1,C22)*52,IF(F22="месяц",E22*IF(C22=0,1,C22)*12,E22*IF(C22=0,1,C22))))</f>
        <v/>
      </c>
      <c r="H22" s="8">
        <f>IF(G22=0,0,G22/12)</f>
        <v/>
      </c>
    </row>
    <row r="23" ht="20" customHeight="1">
      <c r="A23" s="14" t="n">
        <v>19</v>
      </c>
      <c r="B23" s="13" t="inlineStr">
        <is>
          <t>Штора</t>
        </is>
      </c>
      <c r="C23" s="15" t="n">
        <v>2</v>
      </c>
      <c r="D23" s="16" t="inlineStr">
        <is>
          <t>https://leroymerlin.ru/catalogue/shtory/</t>
        </is>
      </c>
      <c r="E23" s="17" t="n">
        <v>1200</v>
      </c>
      <c r="F23" s="15" t="n">
        <v>5</v>
      </c>
      <c r="G23" s="8">
        <f>IF(ISNUMBER(F23),IF(F23=0,0,E23*IF(C23=0,1,C23)/F23),IF(F23="неделя",E23*IF(C23=0,1,C23)*52,IF(F23="месяц",E23*IF(C23=0,1,C23)*12,E23*IF(C23=0,1,C23))))</f>
        <v/>
      </c>
      <c r="H23" s="8">
        <f>IF(G23=0,0,G23/12)</f>
        <v/>
      </c>
    </row>
    <row r="25">
      <c r="A25" s="10" t="inlineStr">
        <is>
          <t>Итого: Комната</t>
        </is>
      </c>
      <c r="B25" s="10" t="n"/>
      <c r="C25" s="10" t="n"/>
      <c r="D25" s="10" t="n"/>
      <c r="E25" s="10" t="n"/>
      <c r="F25" s="10" t="n"/>
      <c r="G25" s="11">
        <f>G5+G6+G7+G8+G9+G10+G11+G12+G13+G14+G15+G16+G17+G18+G19+G20+G21+G22+G23</f>
        <v/>
      </c>
      <c r="H25" s="11">
        <f>IF(G25=0,0,G25/12)</f>
        <v/>
      </c>
    </row>
  </sheetData>
  <mergeCells count="3">
    <mergeCell ref="A2:H2"/>
    <mergeCell ref="A25:F25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Оборудование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Клавиатура</t>
        </is>
      </c>
      <c r="C5" s="15" t="n">
        <v>1</v>
      </c>
      <c r="D5" s="16" t="inlineStr">
        <is>
          <t>https://www.dns-shop.ru/catalog/17a8a40216404e77/klaviatury/</t>
        </is>
      </c>
      <c r="E5" s="17" t="n">
        <v>1499</v>
      </c>
      <c r="F5" s="15" t="n">
        <v>4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Коврик для мыши</t>
        </is>
      </c>
      <c r="C6" s="15" t="n">
        <v>1</v>
      </c>
      <c r="D6" s="16" t="inlineStr">
        <is>
          <t>https://www.dns-shop.ru/catalog/17a9f9e316404e77/kovriki-dlya-myshi/</t>
        </is>
      </c>
      <c r="E6" s="17" t="n">
        <v>299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Колонки</t>
        </is>
      </c>
      <c r="C7" s="15" t="n">
        <v>1</v>
      </c>
      <c r="D7" s="16" t="inlineStr">
        <is>
          <t>https://www.dns-shop.ru/catalog/17a8914916404e77/kompyuternaya-akustika/</t>
        </is>
      </c>
      <c r="E7" s="17" t="n">
        <v>1499</v>
      </c>
      <c r="F7" s="15" t="n">
        <v>4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Микрофон</t>
        </is>
      </c>
      <c r="C8" s="15" t="n">
        <v>1</v>
      </c>
      <c r="D8" s="16" t="inlineStr">
        <is>
          <t>https://www.dns-shop.ru/catalog/17a89bdd16404e77/mikrofoni/</t>
        </is>
      </c>
      <c r="E8" s="17" t="n">
        <v>1299</v>
      </c>
      <c r="F8" s="15" t="n">
        <v>4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Монитор</t>
        </is>
      </c>
      <c r="C9" s="15" t="n">
        <v>1</v>
      </c>
      <c r="D9" s="16" t="inlineStr">
        <is>
          <t>https://www.dns-shop.ru/catalog/17a8943716404e77/monitory/</t>
        </is>
      </c>
      <c r="E9" s="17" t="n">
        <v>8999</v>
      </c>
      <c r="F9" s="15" t="n">
        <v>4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Мышь</t>
        </is>
      </c>
      <c r="C10" s="15" t="n">
        <v>1</v>
      </c>
      <c r="D10" s="16" t="inlineStr">
        <is>
          <t>https://www.dns-shop.ru/catalog/17a8a4d816404e77/myshi/</t>
        </is>
      </c>
      <c r="E10" s="17" t="n">
        <v>799</v>
      </c>
      <c r="F10" s="15" t="n">
        <v>4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Наушники</t>
        </is>
      </c>
      <c r="C11" s="15" t="n">
        <v>1</v>
      </c>
      <c r="D11" s="16" t="inlineStr">
        <is>
          <t>https://www.detmir.ru/search/results/?qt=%D0%BD%D0%B0%D1%83%D1%88%D0%BD%D0%B8%D0%BA%D0%B8</t>
        </is>
      </c>
      <c r="E11" s="17" t="n">
        <v>1999</v>
      </c>
      <c r="F11" s="15" t="n">
        <v>4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Системный блок</t>
        </is>
      </c>
      <c r="C12" s="15" t="n">
        <v>1</v>
      </c>
      <c r="D12" s="16" t="inlineStr">
        <is>
          <t>https://www.avito.ru/</t>
        </is>
      </c>
      <c r="E12" s="17" t="n">
        <v>23000</v>
      </c>
      <c r="F12" s="15" t="n">
        <v>4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Смартфон</t>
        </is>
      </c>
      <c r="C13" s="15" t="n">
        <v>1</v>
      </c>
      <c r="D13" s="16" t="inlineStr">
        <is>
          <t>https://www.avito.ru/</t>
        </is>
      </c>
      <c r="E13" s="17" t="n">
        <v>5000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5">
      <c r="A15" s="10" t="inlineStr">
        <is>
          <t>Итого: Оборудование</t>
        </is>
      </c>
      <c r="B15" s="10" t="n"/>
      <c r="C15" s="10" t="n"/>
      <c r="D15" s="10" t="n"/>
      <c r="E15" s="10" t="n"/>
      <c r="F15" s="10" t="n"/>
      <c r="G15" s="11">
        <f>G5+G6+G7+G8+G9+G10+G11+G12+G13</f>
        <v/>
      </c>
      <c r="H15" s="11">
        <f>IF(G15=0,0,G15/12)</f>
        <v/>
      </c>
    </row>
  </sheetData>
  <mergeCells count="3">
    <mergeCell ref="A15:F15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Обувь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Ботинки зимние</t>
        </is>
      </c>
      <c r="C5" s="15" t="n">
        <v>1</v>
      </c>
      <c r="D5" s="16" t="inlineStr">
        <is>
          <t>https://www.detmir.ru/catalog/index/name/botinki_m/sezon_oio-zima/</t>
        </is>
      </c>
      <c r="E5" s="17" t="n">
        <v>3999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Ботинки осенние утеплённые</t>
        </is>
      </c>
      <c r="C6" s="15" t="n">
        <v>1</v>
      </c>
      <c r="D6" s="16" t="inlineStr">
        <is>
          <t>https://www.detmir.ru/catalog/index/name/botinki_m/sezon_oio-demisezon/</t>
        </is>
      </c>
      <c r="E6" s="17" t="n">
        <v>2999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Кроссовки</t>
        </is>
      </c>
      <c r="C7" s="15" t="n">
        <v>1</v>
      </c>
      <c r="D7" s="16" t="inlineStr">
        <is>
          <t>https://www.detmir.ru/product/index/id/7076432/</t>
        </is>
      </c>
      <c r="E7" s="17" t="n">
        <v>2499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Сандалии летние</t>
        </is>
      </c>
      <c r="C8" s="15" t="n">
        <v>1</v>
      </c>
      <c r="D8" s="16" t="inlineStr">
        <is>
          <t>https://www.detmir.ru/catalog/index/name/shoes_for_boys/brand/4112/</t>
        </is>
      </c>
      <c r="E8" s="17" t="n">
        <v>999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Сланцы летние</t>
        </is>
      </c>
      <c r="C9" s="15" t="n">
        <v>1</v>
      </c>
      <c r="D9" s="16" t="inlineStr">
        <is>
          <t>https://www.detmir.ru/search/results/?qt=%D1%81%D0%BB%D0%B0%D0%BD%D1%86%D1%8B</t>
        </is>
      </c>
      <c r="E9" s="17" t="n">
        <v>499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Тапочки домашние</t>
        </is>
      </c>
      <c r="C10" s="15" t="n">
        <v>1</v>
      </c>
      <c r="D10" s="16" t="inlineStr">
        <is>
          <t>https://www.detmir.ru/search/results/?qt=%D1%82%D0%B0%D0%BF%D0%BE%D1%87%D0%BA%D0%B8</t>
        </is>
      </c>
      <c r="E10" s="17" t="n">
        <v>599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Туфли праздничные</t>
        </is>
      </c>
      <c r="C11" s="15" t="n">
        <v>1</v>
      </c>
      <c r="D11" s="16" t="inlineStr">
        <is>
          <t>https://www.detmir.ru/product/index/id/7077779/</t>
        </is>
      </c>
      <c r="E11" s="17" t="n">
        <v>1599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3">
      <c r="A13" s="10" t="inlineStr">
        <is>
          <t>Итого: Обувь</t>
        </is>
      </c>
      <c r="B13" s="10" t="n"/>
      <c r="C13" s="10" t="n"/>
      <c r="D13" s="10" t="n"/>
      <c r="E13" s="10" t="n"/>
      <c r="F13" s="10" t="n"/>
      <c r="G13" s="11">
        <f>G5+G6+G7+G8+G9+G10+G11</f>
        <v/>
      </c>
      <c r="H13" s="11">
        <f>IF(G13=0,0,G13/12)</f>
        <v/>
      </c>
    </row>
  </sheetData>
  <mergeCells count="3">
    <mergeCell ref="A13:F13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</hyperlink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Одежда второго слоя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Брюки праздничные</t>
        </is>
      </c>
      <c r="C5" s="15" t="n">
        <v>1</v>
      </c>
      <c r="D5" s="16" t="inlineStr">
        <is>
          <t>https://www.detmir.ru/product/index/id/7069209/</t>
        </is>
      </c>
      <c r="E5" s="17" t="n">
        <v>1299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Джинсы</t>
        </is>
      </c>
      <c r="C6" s="15" t="n">
        <v>2</v>
      </c>
      <c r="D6" s="16" t="inlineStr">
        <is>
          <t>https://www.detmir.ru/catalog/index/name/detskaya_odezhda/brand/4112/</t>
        </is>
      </c>
      <c r="E6" s="17" t="n">
        <v>799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Домашний костюм</t>
        </is>
      </c>
      <c r="C7" s="15" t="n">
        <v>2</v>
      </c>
      <c r="D7" s="16" t="inlineStr">
        <is>
          <t>https://www.detmir.ru/search/results/?qt=%D0%B4%D0%BE%D0%BC%D0%B0%D1%88%D0%BD%D0%B8%D0%B9%20%D0%BA%D0%BE%D1%81%D1%82%D1%8E%D0%BC</t>
        </is>
      </c>
      <c r="E7" s="17" t="n">
        <v>1499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Пиджак праздничный</t>
        </is>
      </c>
      <c r="C8" s="15" t="n">
        <v>1</v>
      </c>
      <c r="D8" s="16" t="inlineStr">
        <is>
          <t>https://www.detmir.ru/product/index/id/6643629/</t>
        </is>
      </c>
      <c r="E8" s="17" t="n">
        <v>2399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Рубашка праздничная</t>
        </is>
      </c>
      <c r="C9" s="15" t="n">
        <v>1</v>
      </c>
      <c r="D9" s="16" t="inlineStr">
        <is>
          <t>https://orby.ru/c/shkolnaya-forma-dlya-malchikov/</t>
        </is>
      </c>
      <c r="E9" s="17" t="n">
        <v>2000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Свитер</t>
        </is>
      </c>
      <c r="C10" s="15" t="n">
        <v>2</v>
      </c>
      <c r="D10" s="16" t="inlineStr">
        <is>
          <t>https://www.detmir.ru/search/results/?qt=%D1%81%D0%B2%D0%B8%D1%82%D0%B5%D1%80</t>
        </is>
      </c>
      <c r="E10" s="17" t="n">
        <v>1199</v>
      </c>
      <c r="F10" s="15" t="n">
        <v>2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Футболка</t>
        </is>
      </c>
      <c r="C11" s="15" t="n">
        <v>2</v>
      </c>
      <c r="D11" s="16" t="inlineStr">
        <is>
          <t>https://www.wildberries.ru/brands/playtoday</t>
        </is>
      </c>
      <c r="E11" s="17" t="n">
        <v>599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Худи</t>
        </is>
      </c>
      <c r="C12" s="15" t="n">
        <v>2</v>
      </c>
      <c r="D12" s="16" t="inlineStr">
        <is>
          <t>https://www.wildberries.ru/brands/playtoday</t>
        </is>
      </c>
      <c r="E12" s="17" t="n">
        <v>1799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Шорты летние</t>
        </is>
      </c>
      <c r="C13" s="15" t="n">
        <v>2</v>
      </c>
      <c r="D13" s="16" t="inlineStr">
        <is>
          <t>https://www.wildberries.ru/brands/playtoday</t>
        </is>
      </c>
      <c r="E13" s="17" t="n">
        <v>899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5">
      <c r="A15" s="10" t="inlineStr">
        <is>
          <t>Итого: Одежда второго слоя</t>
        </is>
      </c>
      <c r="B15" s="10" t="n"/>
      <c r="C15" s="10" t="n"/>
      <c r="D15" s="10" t="n"/>
      <c r="E15" s="10" t="n"/>
      <c r="F15" s="10" t="n"/>
      <c r="G15" s="11">
        <f>G5+G6+G7+G8+G9+G10+G11+G12+G13</f>
        <v/>
      </c>
      <c r="H15" s="11">
        <f>IF(G15=0,0,G15/12)</f>
        <v/>
      </c>
    </row>
  </sheetData>
  <mergeCells count="3">
    <mergeCell ref="A15:F15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Предметы личного пользования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Вилка</t>
        </is>
      </c>
      <c r="C5" s="15" t="n">
        <v>1</v>
      </c>
      <c r="D5" s="16" t="inlineStr">
        <is>
          <t>https://www.detmir.ru/search/results/?qt=%D0%B2%D0%B8%D0%BB%D0%BA%D0%B0%20%D0%B4%D0%B5%D1%82%D1%81%D0%BA%D0%B0%D1%8F</t>
        </is>
      </c>
      <c r="E5" s="17" t="n">
        <v>49</v>
      </c>
      <c r="F5" s="15" t="n">
        <v>3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Влажные салфетки</t>
        </is>
      </c>
      <c r="C6" s="15" t="n">
        <v>12</v>
      </c>
      <c r="D6" s="16" t="inlineStr">
        <is>
          <t>https://magnit.ru/catalog?q=%D0%B2%D0%BB%D0%B0%D0%B6%D0%BD%D1%8B%D0%B5%20%D1%81%D0%B0%D0%BB%D1%84%D0%B5%D1%82%D0%BA%D0%B8</t>
        </is>
      </c>
      <c r="E6" s="17" t="n">
        <v>89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Зубная паста R.O.C.S.</t>
        </is>
      </c>
      <c r="C7" s="15" t="n">
        <v>6</v>
      </c>
      <c r="D7" s="16" t="inlineStr">
        <is>
          <t>https://www.okeydostavka.ru/webapp/wcs/stores/servlet/SearchDisplay?searchTerm=R.O.C.S.</t>
        </is>
      </c>
      <c r="E7" s="17" t="n">
        <v>399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Зубная щётка</t>
        </is>
      </c>
      <c r="C8" s="15" t="n">
        <v>2</v>
      </c>
      <c r="D8" s="16" t="inlineStr">
        <is>
          <t>https://www.detmir.ru/search/results/?qt=%D0%B7%D1%83%D0%B1%D0%BD%D0%B0%D1%8F%20%D1%89%D0%B5%D1%82%D0%BA%D0%B0%20%D0%B4%D0%B5%D1%82%D1%81%D0%BA%D0%B0%D1%8F</t>
        </is>
      </c>
      <c r="E8" s="17" t="n">
        <v>149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Ложка столовая</t>
        </is>
      </c>
      <c r="C9" s="15" t="n">
        <v>1</v>
      </c>
      <c r="D9" s="16" t="inlineStr">
        <is>
          <t>https://www.detmir.ru/search/results/?qt=%D0%BB%D0%BE%D0%B6%D0%BA%D0%B0%20%D0%B4%D0%B5%D1%82%D1%81%D0%BA%D0%B0%D1%8F</t>
        </is>
      </c>
      <c r="E9" s="17" t="n">
        <v>49</v>
      </c>
      <c r="F9" s="15" t="n">
        <v>3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Ложка чайная</t>
        </is>
      </c>
      <c r="C10" s="15" t="n">
        <v>1</v>
      </c>
      <c r="D10" s="16" t="inlineStr">
        <is>
          <t>https://www.detmir.ru/search/results/?qt=%D0%BB%D0%BE%D0%B6%D0%BA%D0%B0%20%D1%87%D0%B0%D0%B9%D0%BD%D0%B0%D1%8F%20%D0%B4%D0%B5%D1%82%D1%81%D0%BA%D0%B0%D1%8F</t>
        </is>
      </c>
      <c r="E10" s="17" t="n">
        <v>39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Молочко для тела</t>
        </is>
      </c>
      <c r="C11" s="15" t="n">
        <v>1</v>
      </c>
      <c r="D11" s="16" t="inlineStr">
        <is>
          <t>https://magnit.ru/catalog?q=%D0%BC%D0%BE%D0%BB%D0%BE%D1%87%D0%BA%D0%BE%20%D0%B4%D0%BB%D1%8F%20%D1%82%D0%B5%D0%BB%D0%B0%20%D0%B4%D0%B5%D1%82%D1%81%D0%BA%D0%BE%D0%B5</t>
        </is>
      </c>
      <c r="E11" s="17" t="n">
        <v>299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Мочалка</t>
        </is>
      </c>
      <c r="C12" s="15" t="n">
        <v>1</v>
      </c>
      <c r="D12" s="16" t="inlineStr">
        <is>
          <t>https://www.detmir.ru/search/results/?qt=%D0%BC%D0%BE%D1%87%D0%B0%D0%BB%D0%BA%D0%B0</t>
        </is>
      </c>
      <c r="E12" s="17" t="n">
        <v>199</v>
      </c>
      <c r="F12" s="15" t="n">
        <v>1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Полотенце банное</t>
        </is>
      </c>
      <c r="C13" s="15" t="n">
        <v>1</v>
      </c>
      <c r="D13" s="16" t="inlineStr">
        <is>
          <t>https://www.detmir.ru/search/results/?qt=%D0%BF%D0%BE%D0%BB%D0%BE%D1%82%D0%B5%D0%BD%D1%86%D0%B5%20%D0%B1%D0%B0%D0%BD%D0%BD%D0%BE%D0%B5</t>
        </is>
      </c>
      <c r="E13" s="17" t="n">
        <v>699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Полотенце для лица</t>
        </is>
      </c>
      <c r="C14" s="15" t="n">
        <v>2</v>
      </c>
      <c r="D14" s="16" t="inlineStr">
        <is>
          <t>https://www.detmir.ru/search/results/?qt=%D0%BF%D0%BE%D0%BB%D0%BE%D1%82%D0%B5%D0%BD%D1%86%D0%B5%20%D0%B4%D0%BB%D1%8F%20%D0%BB%D0%B8%D1%86%D0%B0</t>
        </is>
      </c>
      <c r="E14" s="17" t="n">
        <v>349</v>
      </c>
      <c r="F14" s="15" t="n">
        <v>1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Тарелка глубокая</t>
        </is>
      </c>
      <c r="C15" s="15" t="n">
        <v>1</v>
      </c>
      <c r="D15" s="16" t="inlineStr">
        <is>
          <t>https://www.detmir.ru/search/results/?qt=%D1%82%D0%B0%D1%80%D0%B5%D0%BB%D0%BA%D0%B0%20%D0%B4%D0%B5%D1%82%D1%81%D0%BA%D0%B0%D1%8F</t>
        </is>
      </c>
      <c r="E15" s="17" t="n">
        <v>149</v>
      </c>
      <c r="F15" s="15" t="n">
        <v>3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Тарелка плоская</t>
        </is>
      </c>
      <c r="C16" s="15" t="n">
        <v>1</v>
      </c>
      <c r="D16" s="16" t="inlineStr">
        <is>
          <t>https://www.detmir.ru/search/results/?qt=%D1%82%D0%B0%D1%80%D0%B5%D0%BB%D0%BA%D0%B0%20%D0%B4%D0%B5%D1%82%D1%81%D0%BA%D0%B0%D1%8F</t>
        </is>
      </c>
      <c r="E16" s="17" t="n">
        <v>149</v>
      </c>
      <c r="F16" s="15" t="n">
        <v>3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Туалетная бумага</t>
        </is>
      </c>
      <c r="C17" s="15" t="n">
        <v>36</v>
      </c>
      <c r="D17" s="16" t="inlineStr">
        <is>
          <t>https://magnit.ru/product/1000044580-tualetnaya_bumaga_soft_luxe_4_rulona</t>
        </is>
      </c>
      <c r="E17" s="17" t="n">
        <v>30</v>
      </c>
      <c r="F17" s="15" t="n">
        <v>1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Чашка</t>
        </is>
      </c>
      <c r="C18" s="15" t="n">
        <v>1</v>
      </c>
      <c r="D18" s="16" t="inlineStr">
        <is>
          <t>https://www.detmir.ru/search/results/?qt=%D0%BA%D1%80%D1%83%D0%B6%D0%BA%D0%B0%20%D0%B4%D0%B5%D1%82%D1%81%D0%BA%D0%B0%D1%8F</t>
        </is>
      </c>
      <c r="E18" s="17" t="n">
        <v>199</v>
      </c>
      <c r="F18" s="15" t="n">
        <v>3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Шампунь детский</t>
        </is>
      </c>
      <c r="C19" s="15" t="n">
        <v>6</v>
      </c>
      <c r="D19" s="16" t="inlineStr">
        <is>
          <t>https://www.detmir.ru/search/results/?qt=%D1%88%D0%B0%D0%BC%D0%BF%D1%83%D0%BD%D1%8C%20%D0%B4%D0%B5%D1%82%D1%81%D0%BA%D0%B8%D0%B9</t>
        </is>
      </c>
      <c r="E19" s="17" t="n">
        <v>199</v>
      </c>
      <c r="F19" s="15" t="n">
        <v>1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Шейкер / бутылка</t>
        </is>
      </c>
      <c r="C20" s="15" t="n">
        <v>1</v>
      </c>
      <c r="D20" s="16" t="inlineStr">
        <is>
          <t>https://www.detmir.ru/search/results/?qt=%D0%B1%D1%83%D1%82%D1%8B%D0%BB%D0%BA%D0%B0</t>
        </is>
      </c>
      <c r="E20" s="17" t="n">
        <v>499</v>
      </c>
      <c r="F20" s="15" t="n">
        <v>2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2">
      <c r="A22" s="10" t="inlineStr">
        <is>
          <t>Итого: Предметы личного пользования</t>
        </is>
      </c>
      <c r="B22" s="10" t="n"/>
      <c r="C22" s="10" t="n"/>
      <c r="D22" s="10" t="n"/>
      <c r="E22" s="10" t="n"/>
      <c r="F22" s="10" t="n"/>
      <c r="G22" s="11">
        <f>G5+G6+G7+G8+G9+G10+G11+G12+G13+G14+G15+G16+G17+G18+G19+G20</f>
        <v/>
      </c>
      <c r="H22" s="11">
        <f>IF(G22=0,0,G22/12)</f>
        <v/>
      </c>
    </row>
  </sheetData>
  <mergeCells count="3">
    <mergeCell ref="A22:F22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</hyperlink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Продукты питания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Продукты на ребёнка</t>
        </is>
      </c>
      <c r="C5" s="15" t="n">
        <v>1</v>
      </c>
      <c r="D5" s="16" t="inlineStr">
        <is>
          <t>https://magnit.ru/</t>
        </is>
      </c>
      <c r="E5" s="17" t="n">
        <v>20000</v>
      </c>
      <c r="F5" s="15" t="inlineStr">
        <is>
          <t>месяц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7">
      <c r="A7" s="10" t="inlineStr">
        <is>
          <t>Итого: Продукты питания</t>
        </is>
      </c>
      <c r="B7" s="10" t="n"/>
      <c r="C7" s="10" t="n"/>
      <c r="D7" s="10" t="n"/>
      <c r="E7" s="10" t="n"/>
      <c r="F7" s="10" t="n"/>
      <c r="G7" s="11">
        <f>G5</f>
        <v/>
      </c>
      <c r="H7" s="11">
        <f>IF(G7=0,0,G7/12)</f>
        <v/>
      </c>
    </row>
  </sheetData>
  <mergeCells count="3">
    <mergeCell ref="A2:H2"/>
    <mergeCell ref="A7:F7"/>
    <mergeCell ref="A1:H1"/>
  </mergeCells>
  <dataValidations count="1">
    <dataValidation sqref="F5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</hyperlink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Спорт и досуг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Борцовка самбо</t>
        </is>
      </c>
      <c r="C5" s="15" t="n">
        <v>1</v>
      </c>
      <c r="D5" s="16" t="inlineStr">
        <is>
          <t>https://rocky-shop.ru/ekipirovka-dlya-edinoborstv/kurtka-dlya-sambo-green-hill-junior-rostovki-160-190-sm-10032.html</t>
        </is>
      </c>
      <c r="E5" s="17" t="n">
        <v>3690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Бустер автомобильный</t>
        </is>
      </c>
      <c r="C6" s="15" t="n">
        <v>1</v>
      </c>
      <c r="D6" s="16" t="inlineStr">
        <is>
          <t>https://www.detmir.ru/search/results/?qt=%D0%B1%D1%83%D1%81%D1%82%D0%B5%D1%80%20%D0%B0%D0%B2%D1%82%D0%BE%D0%BC%D0%BE%D0%B1%D0%B8%D0%BB%D1%8C%D0%BD%D1%8B%D0%B9</t>
        </is>
      </c>
      <c r="E6" s="17" t="n">
        <v>1999</v>
      </c>
      <c r="F6" s="15" t="n">
        <v>7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Велосипед Stern 24"</t>
        </is>
      </c>
      <c r="C7" s="15" t="n">
        <v>1</v>
      </c>
      <c r="D7" s="16" t="inlineStr">
        <is>
          <t>https://market.yandex.ru/search?text=%D0%B2%D0%B5%D0%BB%D0%BE%D1%81%D0%B8%D0%BF%D0%B5%D0%B4%20Stern%2024</t>
        </is>
      </c>
      <c r="E7" s="17" t="n">
        <v>27999</v>
      </c>
      <c r="F7" s="15" t="n">
        <v>5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Гантель</t>
        </is>
      </c>
      <c r="C8" s="15" t="n">
        <v>2</v>
      </c>
      <c r="D8" s="16" t="inlineStr">
        <is>
          <t>https://www.detmir.ru/search/results/?qt=%D0%B3%D0%B0%D0%BD%D1%82%D0%B5%D0%BB%D0%B8%20%D0%B4%D0%B5%D1%82%D1%81%D0%BA%D0%B8%D0%B5</t>
        </is>
      </c>
      <c r="E8" s="17" t="n">
        <v>365</v>
      </c>
      <c r="F8" s="15" t="n">
        <v>3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Защита голени</t>
        </is>
      </c>
      <c r="C9" s="15" t="n">
        <v>1</v>
      </c>
      <c r="D9" s="16" t="inlineStr">
        <is>
          <t>https://karate.ru/shop/catalog/407-perchatki-mma-sinie-kozhzamenitel-combat-sambo-green-hill/</t>
        </is>
      </c>
      <c r="E9" s="17" t="n">
        <v>2190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Коньки</t>
        </is>
      </c>
      <c r="C10" s="15" t="n">
        <v>1</v>
      </c>
      <c r="D10" s="16" t="inlineStr">
        <is>
          <t>https://www.detmir.ru/search/results/?qt=%D0%BA%D0%BE%D0%BD%D1%8C%D0%BA%D0%B8</t>
        </is>
      </c>
      <c r="E10" s="17" t="n">
        <v>2999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Ласты</t>
        </is>
      </c>
      <c r="C11" s="15" t="n">
        <v>1</v>
      </c>
      <c r="D11" s="16" t="inlineStr">
        <is>
          <t>https://www.detmir.ru/search/results/?qt=%D0%BB%D0%B0%D1%81%D1%82%D1%8B%20%D0%B4%D0%B5%D1%82%D1%81%D0%BA%D0%B8%D0%B5</t>
        </is>
      </c>
      <c r="E11" s="17" t="n">
        <v>999</v>
      </c>
      <c r="F11" s="15" t="n">
        <v>2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Мяч футбольный</t>
        </is>
      </c>
      <c r="C12" s="15" t="n">
        <v>1</v>
      </c>
      <c r="D12" s="16" t="inlineStr">
        <is>
          <t>https://www.detmir.ru/search/results/?qt=%D0%BC%D1%8F%D1%87%20%D1%84%D1%83%D1%82%D0%B1%D0%BE%D0%BB%D1%8C%D0%BD%D1%8B%D0%B9</t>
        </is>
      </c>
      <c r="E12" s="17" t="n">
        <v>799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Надувной круг</t>
        </is>
      </c>
      <c r="C13" s="15" t="n">
        <v>1</v>
      </c>
      <c r="D13" s="16" t="inlineStr">
        <is>
          <t>https://www.detmir.ru/search/results/?qt=%D0%BD%D0%B0%D0%B4%D1%83%D0%B2%D0%BD%D0%BE%D0%B9%20%D0%BA%D1%80%D1%83%D0%B3</t>
        </is>
      </c>
      <c r="E13" s="17" t="n">
        <v>599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Перчатки для самбо</t>
        </is>
      </c>
      <c r="C14" s="15" t="n">
        <v>1</v>
      </c>
      <c r="D14" s="16" t="inlineStr">
        <is>
          <t>https://dantesport.ru/product_info.php?products_id=1207</t>
        </is>
      </c>
      <c r="E14" s="17" t="n">
        <v>2990</v>
      </c>
      <c r="F14" s="15" t="n">
        <v>2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Плавки</t>
        </is>
      </c>
      <c r="C15" s="15" t="n">
        <v>1</v>
      </c>
      <c r="D15" s="16" t="inlineStr">
        <is>
          <t>https://www.detmir.ru/catalog/index/name/plavki/</t>
        </is>
      </c>
      <c r="E15" s="17" t="n">
        <v>599</v>
      </c>
      <c r="F15" s="15" t="n">
        <v>1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Полотенце для плавания</t>
        </is>
      </c>
      <c r="C16" s="15" t="n">
        <v>1</v>
      </c>
      <c r="D16" s="16" t="inlineStr">
        <is>
          <t>https://www.detmir.ru/search/results/?qt=%D0%BF%D0%BE%D0%BB%D0%BE%D1%82%D0%B5%D0%BD%D1%86%D0%B5%20%D0%BF%D0%BB%D0%B0%D0%B2%D0%B0%D0%BD%D0%B8%D0%B5</t>
        </is>
      </c>
      <c r="E16" s="17" t="n">
        <v>499</v>
      </c>
      <c r="F16" s="15" t="n">
        <v>1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Скакалка</t>
        </is>
      </c>
      <c r="C17" s="15" t="n">
        <v>1</v>
      </c>
      <c r="D17" s="16" t="inlineStr">
        <is>
          <t>https://www.detmir.ru/search/results/?qt=%D1%81%D0%BA%D0%B0%D0%BA%D0%B0%D0%BB%D0%BA%D0%B0</t>
        </is>
      </c>
      <c r="E17" s="17" t="n">
        <v>399</v>
      </c>
      <c r="F17" s="15" t="n">
        <v>3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Стул для кемпинга</t>
        </is>
      </c>
      <c r="C18" s="15" t="n">
        <v>1</v>
      </c>
      <c r="D18" s="16" t="inlineStr">
        <is>
          <t>https://leroymerlin.ru/search/?q=%D1%81%D1%82%D1%83%D0%BB%20%D0%BA%D0%B5%D0%BC%D0%BF%D0%B8%D0%BD%D0%B3</t>
        </is>
      </c>
      <c r="E18" s="17" t="n">
        <v>999</v>
      </c>
      <c r="F18" s="15" t="n">
        <v>5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Шорты для самбо</t>
        </is>
      </c>
      <c r="C19" s="15" t="n">
        <v>1</v>
      </c>
      <c r="D19" s="16" t="inlineStr">
        <is>
          <t>https://rocky-shop.ru/ekipirovka-dlya-edinoborstv/detskie-bortscovki-dlya-sambo-green-hill-triumf-odobreny-fias-27458.html</t>
        </is>
      </c>
      <c r="E19" s="17" t="n">
        <v>1990</v>
      </c>
      <c r="F19" s="15" t="n">
        <v>2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1">
      <c r="A21" s="10" t="inlineStr">
        <is>
          <t>Итого: Спорт и досуг</t>
        </is>
      </c>
      <c r="B21" s="10" t="n"/>
      <c r="C21" s="10" t="n"/>
      <c r="D21" s="10" t="n"/>
      <c r="E21" s="10" t="n"/>
      <c r="F21" s="10" t="n"/>
      <c r="G21" s="11">
        <f>G5+G6+G7+G8+G9+G10+G11+G12+G13+G14+G15+G16+G17+G18+G19</f>
        <v/>
      </c>
      <c r="H21" s="11">
        <f>IF(G21=0,0,G21/12)</f>
        <v/>
      </c>
    </row>
  </sheetData>
  <mergeCells count="3">
    <mergeCell ref="A21:F2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</hyperlink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5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Обязательное образование: школа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Брюки школьные</t>
        </is>
      </c>
      <c r="C5" s="15" t="n">
        <v>2</v>
      </c>
      <c r="D5" s="16" t="inlineStr">
        <is>
          <t>https://www.wildberries.ru/catalog/13454614/detail.aspx</t>
        </is>
      </c>
      <c r="E5" s="17" t="n">
        <v>2000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Джемпер школьный</t>
        </is>
      </c>
      <c r="C6" s="15" t="n">
        <v>1</v>
      </c>
      <c r="D6" s="16" t="inlineStr">
        <is>
          <t>https://www.detmir.ru/product/index/id/7065088/</t>
        </is>
      </c>
      <c r="E6" s="17" t="n">
        <v>1399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Жилет школьный</t>
        </is>
      </c>
      <c r="C7" s="15" t="n">
        <v>1</v>
      </c>
      <c r="D7" s="16" t="inlineStr">
        <is>
          <t>https://www.detmir.ru/product/index/id/7065103/</t>
        </is>
      </c>
      <c r="E7" s="17" t="n">
        <v>999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Рубашка школьная</t>
        </is>
      </c>
      <c r="C8" s="15" t="n">
        <v>2</v>
      </c>
      <c r="D8" s="16" t="inlineStr">
        <is>
          <t>https://orby.ru/c/shkolnaya-forma-dlya-malchikov/</t>
        </is>
      </c>
      <c r="E8" s="17" t="n">
        <v>2000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Сменная обувь</t>
        </is>
      </c>
      <c r="C9" s="15" t="n">
        <v>1</v>
      </c>
      <c r="D9" s="16" t="inlineStr">
        <is>
          <t>https://www.sportmaster.ru/catalog/deti/obuv/krossovki_kedy/</t>
        </is>
      </c>
      <c r="E9" s="17" t="n">
        <v>1800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Галстук</t>
        </is>
      </c>
      <c r="C10" s="15" t="n">
        <v>1</v>
      </c>
      <c r="D10" s="16" t="inlineStr">
        <is>
          <t>https://www.detmir.ru/catalog/index/name/neckties/</t>
        </is>
      </c>
      <c r="E10" s="17" t="n">
        <v>299</v>
      </c>
      <c r="F10" s="15" t="n">
        <v>2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Ремень</t>
        </is>
      </c>
      <c r="C11" s="15" t="n">
        <v>1</v>
      </c>
      <c r="D11" s="16" t="inlineStr">
        <is>
          <t>https://www.detmir.ru/catalog/index/name/straps/pol-malchik/</t>
        </is>
      </c>
      <c r="E11" s="17" t="n">
        <v>399</v>
      </c>
      <c r="F11" s="15" t="n">
        <v>2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Рюкзак школьный</t>
        </is>
      </c>
      <c r="C12" s="15" t="n">
        <v>1</v>
      </c>
      <c r="D12" s="16" t="inlineStr">
        <is>
          <t>https://www.detmir.ru/product/index/id/6391235/</t>
        </is>
      </c>
      <c r="E12" s="17" t="n">
        <v>3499</v>
      </c>
      <c r="F12" s="15" t="n">
        <v>3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Сумка для обуви</t>
        </is>
      </c>
      <c r="C13" s="15" t="n">
        <v>1</v>
      </c>
      <c r="D13" s="16" t="inlineStr">
        <is>
          <t>https://www.detmir.ru/product/index/id/6622893/</t>
        </is>
      </c>
      <c r="E13" s="17" t="n">
        <v>269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Сумка для формы</t>
        </is>
      </c>
      <c r="C14" s="15" t="n">
        <v>1</v>
      </c>
      <c r="D14" s="16" t="inlineStr">
        <is>
          <t>https://www.detmir.ru/product/index/id/6037286/</t>
        </is>
      </c>
      <c r="E14" s="17" t="n">
        <v>319</v>
      </c>
      <c r="F14" s="15" t="n">
        <v>2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Спортивная форма школьная</t>
        </is>
      </c>
      <c r="C15" s="15" t="n">
        <v>1</v>
      </c>
      <c r="D15" s="16" t="inlineStr">
        <is>
          <t>https://www.detmir.ru/product/index/id/7069266/</t>
        </is>
      </c>
      <c r="E15" s="17" t="n">
        <v>1999</v>
      </c>
      <c r="F15" s="15" t="n">
        <v>2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Альбом для рисования</t>
        </is>
      </c>
      <c r="C16" s="15" t="n">
        <v>1</v>
      </c>
      <c r="D16" s="16" t="inlineStr">
        <is>
          <t>https://www.detmir.ru/search/results/?qt=%D0%B0%D0%BB%D1%8C%D0%B1%D0%BE%D0%BC</t>
        </is>
      </c>
      <c r="E16" s="17" t="n">
        <v>89</v>
      </c>
      <c r="F16" s="15" t="n">
        <v>1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Готовальня</t>
        </is>
      </c>
      <c r="C17" s="15" t="n">
        <v>1</v>
      </c>
      <c r="D17" s="16" t="inlineStr">
        <is>
          <t>https://www.detmir.ru/catalog/index/name/cyrkuli/tip_cherchenie-gotovalnya/</t>
        </is>
      </c>
      <c r="E17" s="17" t="n">
        <v>349</v>
      </c>
      <c r="F17" s="15" t="n">
        <v>1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Гуашь 12 цв.</t>
        </is>
      </c>
      <c r="C18" s="15" t="n">
        <v>1</v>
      </c>
      <c r="D18" s="16" t="inlineStr">
        <is>
          <t>https://www.detmir.ru/product/index/id/6430833/</t>
        </is>
      </c>
      <c r="E18" s="17" t="n">
        <v>239</v>
      </c>
      <c r="F18" s="15" t="n">
        <v>1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Дневник</t>
        </is>
      </c>
      <c r="C19" s="15" t="n">
        <v>1</v>
      </c>
      <c r="D19" s="16" t="inlineStr">
        <is>
          <t>https://www.detmir.ru/product/index/id/6462321/</t>
        </is>
      </c>
      <c r="E19" s="17" t="n">
        <v>329</v>
      </c>
      <c r="F19" s="15" t="n">
        <v>1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Доска для пластилина</t>
        </is>
      </c>
      <c r="C20" s="15" t="n">
        <v>1</v>
      </c>
      <c r="D20" s="16" t="inlineStr">
        <is>
          <t>https://www.detmir.ru/search/results/?qt=%D0%B4%D0%BE%D1%81%D0%BA%D0%B0%20%D0%B4%D0%BB%D1%8F%20%D0%BB%D0%B5%D0%BF%D0%BA%D0%B8</t>
        </is>
      </c>
      <c r="E20" s="17" t="n">
        <v>49</v>
      </c>
      <c r="F20" s="15" t="n">
        <v>1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1" ht="20" customHeight="1">
      <c r="A21" s="14" t="n">
        <v>17</v>
      </c>
      <c r="B21" s="13" t="inlineStr">
        <is>
          <t>Закладки</t>
        </is>
      </c>
      <c r="C21" s="15" t="n">
        <v>3</v>
      </c>
      <c r="D21" s="16" t="inlineStr">
        <is>
          <t>https://www.detmir.ru/search/results/?qt=%D0%B7%D0%B0%D0%BA%D0%BB%D0%B0%D0%B4%D0%BA%D0%B8%20%D0%B4%D0%BB%D1%8F%20%D0%BA%D0%BD%D0%B8%D0%B3</t>
        </is>
      </c>
      <c r="E21" s="17" t="n">
        <v>39</v>
      </c>
      <c r="F21" s="15" t="n">
        <v>1</v>
      </c>
      <c r="G21" s="8">
        <f>IF(ISNUMBER(F21),IF(F21=0,0,E21*IF(C21=0,1,C21)/F21),IF(F21="неделя",E21*IF(C21=0,1,C21)*52,IF(F21="месяц",E21*IF(C21=0,1,C21)*12,E21*IF(C21=0,1,C21))))</f>
        <v/>
      </c>
      <c r="H21" s="8">
        <f>IF(G21=0,0,G21/12)</f>
        <v/>
      </c>
    </row>
    <row r="22" ht="20" customHeight="1">
      <c r="A22" s="14" t="n">
        <v>18</v>
      </c>
      <c r="B22" s="13" t="inlineStr">
        <is>
          <t>Карандаш простой HB</t>
        </is>
      </c>
      <c r="C22" s="15" t="n">
        <v>10</v>
      </c>
      <c r="D22" s="16" t="inlineStr">
        <is>
          <t>https://www.detmir.ru/search/results/?qt=%D0%BA%D0%B0%D1%80%D0%B0%D0%BD%D0%B4%D0%B0%D1%88%20HB</t>
        </is>
      </c>
      <c r="E22" s="17" t="n">
        <v>20</v>
      </c>
      <c r="F22" s="15" t="n">
        <v>1</v>
      </c>
      <c r="G22" s="8">
        <f>IF(ISNUMBER(F22),IF(F22=0,0,E22*IF(C22=0,1,C22)/F22),IF(F22="неделя",E22*IF(C22=0,1,C22)*52,IF(F22="месяц",E22*IF(C22=0,1,C22)*12,E22*IF(C22=0,1,C22))))</f>
        <v/>
      </c>
      <c r="H22" s="8">
        <f>IF(G22=0,0,G22/12)</f>
        <v/>
      </c>
    </row>
    <row r="23" ht="20" customHeight="1">
      <c r="A23" s="14" t="n">
        <v>19</v>
      </c>
      <c r="B23" s="13" t="inlineStr">
        <is>
          <t>Карандаши цветные 36</t>
        </is>
      </c>
      <c r="C23" s="15" t="n">
        <v>2</v>
      </c>
      <c r="D23" s="16" t="inlineStr">
        <is>
          <t>https://www.detmir.ru/product/index/id/6016009/</t>
        </is>
      </c>
      <c r="E23" s="17" t="n">
        <v>328</v>
      </c>
      <c r="F23" s="15" t="n">
        <v>1</v>
      </c>
      <c r="G23" s="8">
        <f>IF(ISNUMBER(F23),IF(F23=0,0,E23*IF(C23=0,1,C23)/F23),IF(F23="неделя",E23*IF(C23=0,1,C23)*52,IF(F23="месяц",E23*IF(C23=0,1,C23)*12,E23*IF(C23=0,1,C23))))</f>
        <v/>
      </c>
      <c r="H23" s="8">
        <f>IF(G23=0,0,G23/12)</f>
        <v/>
      </c>
    </row>
    <row r="24" ht="20" customHeight="1">
      <c r="A24" s="14" t="n">
        <v>20</v>
      </c>
      <c r="B24" s="13" t="inlineStr">
        <is>
          <t>Картон цветной</t>
        </is>
      </c>
      <c r="C24" s="15" t="n">
        <v>1</v>
      </c>
      <c r="D24" s="16" t="inlineStr">
        <is>
          <t>https://www.detmir.ru/search/results/?qt=%D0%BA%D0%B0%D1%80%D1%82%D0%BE%D0%BD%20%D1%86%D0%B2%D0%B5%D1%82%D0%BD%D0%BE%D0%B9</t>
        </is>
      </c>
      <c r="E24" s="17" t="n">
        <v>89</v>
      </c>
      <c r="F24" s="15" t="n">
        <v>1</v>
      </c>
      <c r="G24" s="8">
        <f>IF(ISNUMBER(F24),IF(F24=0,0,E24*IF(C24=0,1,C24)/F24),IF(F24="неделя",E24*IF(C24=0,1,C24)*52,IF(F24="месяц",E24*IF(C24=0,1,C24)*12,E24*IF(C24=0,1,C24))))</f>
        <v/>
      </c>
      <c r="H24" s="8">
        <f>IF(G24=0,0,G24/12)</f>
        <v/>
      </c>
    </row>
    <row r="25" ht="20" customHeight="1">
      <c r="A25" s="14" t="n">
        <v>21</v>
      </c>
      <c r="B25" s="13" t="inlineStr">
        <is>
          <t>Клей ПВА</t>
        </is>
      </c>
      <c r="C25" s="15" t="n">
        <v>2</v>
      </c>
      <c r="D25" s="16" t="inlineStr">
        <is>
          <t>https://www.detmir.ru/search/results/?qt=%D0%BA%D0%BB%D0%B5%D0%B9%20%D0%9F%D0%92%D0%90</t>
        </is>
      </c>
      <c r="E25" s="17" t="n">
        <v>79</v>
      </c>
      <c r="F25" s="15" t="n">
        <v>1</v>
      </c>
      <c r="G25" s="8">
        <f>IF(ISNUMBER(F25),IF(F25=0,0,E25*IF(C25=0,1,C25)/F25),IF(F25="неделя",E25*IF(C25=0,1,C25)*52,IF(F25="месяц",E25*IF(C25=0,1,C25)*12,E25*IF(C25=0,1,C25))))</f>
        <v/>
      </c>
      <c r="H25" s="8">
        <f>IF(G25=0,0,G25/12)</f>
        <v/>
      </c>
    </row>
    <row r="26" ht="20" customHeight="1">
      <c r="A26" s="14" t="n">
        <v>22</v>
      </c>
      <c r="B26" s="13" t="inlineStr">
        <is>
          <t>Клей-карандаш</t>
        </is>
      </c>
      <c r="C26" s="15" t="n">
        <v>2</v>
      </c>
      <c r="D26" s="16" t="inlineStr">
        <is>
          <t>https://www.detmir.ru/search/results/?qt=%D0%BA%D0%BB%D0%B5%D0%B9-%D0%BA%D0%B0%D1%80%D0%B0%D0%BD%D0%B4%D0%B0%D1%88</t>
        </is>
      </c>
      <c r="E26" s="17" t="n">
        <v>59</v>
      </c>
      <c r="F26" s="15" t="n">
        <v>1</v>
      </c>
      <c r="G26" s="8">
        <f>IF(ISNUMBER(F26),IF(F26=0,0,E26*IF(C26=0,1,C26)/F26),IF(F26="неделя",E26*IF(C26=0,1,C26)*52,IF(F26="месяц",E26*IF(C26=0,1,C26)*12,E26*IF(C26=0,1,C26))))</f>
        <v/>
      </c>
      <c r="H26" s="8">
        <f>IF(G26=0,0,G26/12)</f>
        <v/>
      </c>
    </row>
    <row r="27" ht="20" customHeight="1">
      <c r="A27" s="14" t="n">
        <v>23</v>
      </c>
      <c r="B27" s="13" t="inlineStr">
        <is>
          <t>Корректор</t>
        </is>
      </c>
      <c r="C27" s="15" t="n">
        <v>2</v>
      </c>
      <c r="D27" s="16" t="inlineStr">
        <is>
          <t>https://www.detmir.ru/search/results/?qt=%D0%BA%D0%BE%D1%80%D1%80%D0%B5%D0%BA%D1%82%D0%BE%D1%80%20%D1%88%D0%BA%D0%BE%D0%BB%D1%8C%D0%BD%D1%8B%D0%B9</t>
        </is>
      </c>
      <c r="E27" s="17" t="n">
        <v>59</v>
      </c>
      <c r="F27" s="15" t="n">
        <v>1</v>
      </c>
      <c r="G27" s="8">
        <f>IF(ISNUMBER(F27),IF(F27=0,0,E27*IF(C27=0,1,C27)/F27),IF(F27="неделя",E27*IF(C27=0,1,C27)*52,IF(F27="месяц",E27*IF(C27=0,1,C27)*12,E27*IF(C27=0,1,C27))))</f>
        <v/>
      </c>
      <c r="H27" s="8">
        <f>IF(G27=0,0,G27/12)</f>
        <v/>
      </c>
    </row>
    <row r="28" ht="20" customHeight="1">
      <c r="A28" s="14" t="n">
        <v>24</v>
      </c>
      <c r="B28" s="13" t="inlineStr">
        <is>
          <t>Ластик</t>
        </is>
      </c>
      <c r="C28" s="15" t="n">
        <v>3</v>
      </c>
      <c r="D28" s="16" t="inlineStr">
        <is>
          <t>https://www.detmir.ru/search/results/?qt=%D0%BB%D0%B0%D1%81%D1%82%D0%B8%D0%BA</t>
        </is>
      </c>
      <c r="E28" s="17" t="n">
        <v>39</v>
      </c>
      <c r="F28" s="15" t="n">
        <v>1</v>
      </c>
      <c r="G28" s="8">
        <f>IF(ISNUMBER(F28),IF(F28=0,0,E28*IF(C28=0,1,C28)/F28),IF(F28="неделя",E28*IF(C28=0,1,C28)*52,IF(F28="месяц",E28*IF(C28=0,1,C28)*12,E28*IF(C28=0,1,C28))))</f>
        <v/>
      </c>
      <c r="H28" s="8">
        <f>IF(G28=0,0,G28/12)</f>
        <v/>
      </c>
    </row>
    <row r="29" ht="20" customHeight="1">
      <c r="A29" s="14" t="n">
        <v>25</v>
      </c>
      <c r="B29" s="13" t="inlineStr">
        <is>
          <t>Линейка</t>
        </is>
      </c>
      <c r="C29" s="15" t="n">
        <v>1</v>
      </c>
      <c r="D29" s="16" t="inlineStr">
        <is>
          <t>https://www.detmir.ru/search/results/?qt=%D0%BB%D0%B8%D0%BD%D0%B5%D0%B9%D0%BA%D0%B0%2020</t>
        </is>
      </c>
      <c r="E29" s="17" t="n">
        <v>39</v>
      </c>
      <c r="F29" s="15" t="n">
        <v>1</v>
      </c>
      <c r="G29" s="8">
        <f>IF(ISNUMBER(F29),IF(F29=0,0,E29*IF(C29=0,1,C29)/F29),IF(F29="неделя",E29*IF(C29=0,1,C29)*52,IF(F29="месяц",E29*IF(C29=0,1,C29)*12,E29*IF(C29=0,1,C29))))</f>
        <v/>
      </c>
      <c r="H29" s="8">
        <f>IF(G29=0,0,G29/12)</f>
        <v/>
      </c>
    </row>
    <row r="30" ht="20" customHeight="1">
      <c r="A30" s="14" t="n">
        <v>26</v>
      </c>
      <c r="B30" s="13" t="inlineStr">
        <is>
          <t>Набор кистей</t>
        </is>
      </c>
      <c r="C30" s="15" t="n">
        <v>1</v>
      </c>
      <c r="D30" s="16" t="inlineStr">
        <is>
          <t>https://www.detmir.ru/search/results/?qt=%D0%BA%D0%B8%D1%81%D1%82%D0%B8</t>
        </is>
      </c>
      <c r="E30" s="17" t="n">
        <v>99</v>
      </c>
      <c r="F30" s="15" t="n">
        <v>1</v>
      </c>
      <c r="G30" s="8">
        <f>IF(ISNUMBER(F30),IF(F30=0,0,E30*IF(C30=0,1,C30)/F30),IF(F30="неделя",E30*IF(C30=0,1,C30)*52,IF(F30="месяц",E30*IF(C30=0,1,C30)*12,E30*IF(C30=0,1,C30))))</f>
        <v/>
      </c>
      <c r="H30" s="8">
        <f>IF(G30=0,0,G30/12)</f>
        <v/>
      </c>
    </row>
    <row r="31" ht="20" customHeight="1">
      <c r="A31" s="14" t="n">
        <v>27</v>
      </c>
      <c r="B31" s="13" t="inlineStr">
        <is>
          <t>Набор обложек</t>
        </is>
      </c>
      <c r="C31" s="15" t="n">
        <v>2</v>
      </c>
      <c r="D31" s="16" t="inlineStr">
        <is>
          <t>https://www.detmir.ru/product/index/id/6724733/</t>
        </is>
      </c>
      <c r="E31" s="17" t="n">
        <v>179</v>
      </c>
      <c r="F31" s="15" t="n">
        <v>1</v>
      </c>
      <c r="G31" s="8">
        <f>IF(ISNUMBER(F31),IF(F31=0,0,E31*IF(C31=0,1,C31)/F31),IF(F31="неделя",E31*IF(C31=0,1,C31)*52,IF(F31="месяц",E31*IF(C31=0,1,C31)*12,E31*IF(C31=0,1,C31))))</f>
        <v/>
      </c>
      <c r="H31" s="8">
        <f>IF(G31=0,0,G31/12)</f>
        <v/>
      </c>
    </row>
    <row r="32" ht="20" customHeight="1">
      <c r="A32" s="14" t="n">
        <v>28</v>
      </c>
      <c r="B32" s="13" t="inlineStr">
        <is>
          <t>Непроливайка</t>
        </is>
      </c>
      <c r="C32" s="15" t="n">
        <v>1</v>
      </c>
      <c r="D32" s="16" t="inlineStr">
        <is>
          <t>https://www.detmir.ru/search/results/?qt=%D0%BD%D0%B5%D0%BF%D1%80%D0%BE%D0%BB%D0%B8%D0%B2%D0%B0%D0%B9%D0%BA%D0%B0</t>
        </is>
      </c>
      <c r="E32" s="17" t="n">
        <v>79</v>
      </c>
      <c r="F32" s="15" t="n">
        <v>1</v>
      </c>
      <c r="G32" s="8">
        <f>IF(ISNUMBER(F32),IF(F32=0,0,E32*IF(C32=0,1,C32)/F32),IF(F32="неделя",E32*IF(C32=0,1,C32)*52,IF(F32="месяц",E32*IF(C32=0,1,C32)*12,E32*IF(C32=0,1,C32))))</f>
        <v/>
      </c>
      <c r="H32" s="8">
        <f>IF(G32=0,0,G32/12)</f>
        <v/>
      </c>
    </row>
    <row r="33" ht="20" customHeight="1">
      <c r="A33" s="14" t="n">
        <v>29</v>
      </c>
      <c r="B33" s="13" t="inlineStr">
        <is>
          <t>Ножницы</t>
        </is>
      </c>
      <c r="C33" s="15" t="n">
        <v>1</v>
      </c>
      <c r="D33" s="16" t="inlineStr">
        <is>
          <t>https://www.detmir.ru/search/results/?qt=%D0%BD%D0%BE%D0%B6%D0%BD%D0%B8%D1%86%D1%8B%20%D0%B4%D0%B5%D1%82%D1%81%D0%BA%D0%B8%D0%B5</t>
        </is>
      </c>
      <c r="E33" s="17" t="n">
        <v>129</v>
      </c>
      <c r="F33" s="15" t="n">
        <v>1</v>
      </c>
      <c r="G33" s="8">
        <f>IF(ISNUMBER(F33),IF(F33=0,0,E33*IF(C33=0,1,C33)/F33),IF(F33="неделя",E33*IF(C33=0,1,C33)*52,IF(F33="месяц",E33*IF(C33=0,1,C33)*12,E33*IF(C33=0,1,C33))))</f>
        <v/>
      </c>
      <c r="H33" s="8">
        <f>IF(G33=0,0,G33/12)</f>
        <v/>
      </c>
    </row>
    <row r="34" ht="20" customHeight="1">
      <c r="A34" s="14" t="n">
        <v>30</v>
      </c>
      <c r="B34" s="13" t="inlineStr">
        <is>
          <t>Обложка для дневника</t>
        </is>
      </c>
      <c r="C34" s="15" t="n">
        <v>1</v>
      </c>
      <c r="D34" s="16" t="inlineStr">
        <is>
          <t>https://www.detmir.ru/product/index/id/6442038/</t>
        </is>
      </c>
      <c r="E34" s="17" t="n">
        <v>49</v>
      </c>
      <c r="F34" s="15" t="n">
        <v>1</v>
      </c>
      <c r="G34" s="8">
        <f>IF(ISNUMBER(F34),IF(F34=0,0,E34*IF(C34=0,1,C34)/F34),IF(F34="неделя",E34*IF(C34=0,1,C34)*52,IF(F34="месяц",E34*IF(C34=0,1,C34)*12,E34*IF(C34=0,1,C34))))</f>
        <v/>
      </c>
      <c r="H34" s="8">
        <f>IF(G34=0,0,G34/12)</f>
        <v/>
      </c>
    </row>
    <row r="35" ht="20" customHeight="1">
      <c r="A35" s="14" t="n">
        <v>31</v>
      </c>
      <c r="B35" s="13" t="inlineStr">
        <is>
          <t>Обложки для учебников</t>
        </is>
      </c>
      <c r="C35" s="15" t="n">
        <v>1</v>
      </c>
      <c r="D35" s="16" t="inlineStr">
        <is>
          <t>https://www.detmir.ru/catalog/index/name/cover_notebook/</t>
        </is>
      </c>
      <c r="E35" s="17" t="n">
        <v>199</v>
      </c>
      <c r="F35" s="15" t="n">
        <v>1</v>
      </c>
      <c r="G35" s="8">
        <f>IF(ISNUMBER(F35),IF(F35=0,0,E35*IF(C35=0,1,C35)/F35),IF(F35="неделя",E35*IF(C35=0,1,C35)*52,IF(F35="месяц",E35*IF(C35=0,1,C35)*12,E35*IF(C35=0,1,C35))))</f>
        <v/>
      </c>
      <c r="H35" s="8">
        <f>IF(G35=0,0,G35/12)</f>
        <v/>
      </c>
    </row>
    <row r="36" ht="20" customHeight="1">
      <c r="A36" s="14" t="n">
        <v>32</v>
      </c>
      <c r="B36" s="13" t="inlineStr">
        <is>
          <t>Папка для тетрадей</t>
        </is>
      </c>
      <c r="C36" s="15" t="n">
        <v>1</v>
      </c>
      <c r="D36" s="16" t="inlineStr">
        <is>
          <t>https://www.detmir.ru/search/results/?qt=%D0%BF%D0%B0%D0%BF%D0%BA%D0%B0%20%D0%B4%D0%BB%D1%8F%20%D1%82%D0%B5%D1%82%D1%80%D0%B0%D0%B4%D0%B5%D0%B9</t>
        </is>
      </c>
      <c r="E36" s="17" t="n">
        <v>199</v>
      </c>
      <c r="F36" s="15" t="n">
        <v>1</v>
      </c>
      <c r="G36" s="8">
        <f>IF(ISNUMBER(F36),IF(F36=0,0,E36*IF(C36=0,1,C36)/F36),IF(F36="неделя",E36*IF(C36=0,1,C36)*52,IF(F36="месяц",E36*IF(C36=0,1,C36)*12,E36*IF(C36=0,1,C36))))</f>
        <v/>
      </c>
      <c r="H36" s="8">
        <f>IF(G36=0,0,G36/12)</f>
        <v/>
      </c>
    </row>
    <row r="37" ht="20" customHeight="1">
      <c r="A37" s="14" t="n">
        <v>33</v>
      </c>
      <c r="B37" s="13" t="inlineStr">
        <is>
          <t>Папка для труда</t>
        </is>
      </c>
      <c r="C37" s="15" t="n">
        <v>1</v>
      </c>
      <c r="D37" s="16" t="inlineStr">
        <is>
          <t>https://www.detmir.ru/search/results/?qt=%D0%BF%D0%B0%D0%BF%D0%BA%D0%B0%20%D0%B4%D0%BB%D1%8F%20%D1%82%D1%80%D1%83%D0%B4%D0%B0</t>
        </is>
      </c>
      <c r="E37" s="17" t="n">
        <v>349</v>
      </c>
      <c r="F37" s="15" t="n">
        <v>1</v>
      </c>
      <c r="G37" s="8">
        <f>IF(ISNUMBER(F37),IF(F37=0,0,E37*IF(C37=0,1,C37)/F37),IF(F37="неделя",E37*IF(C37=0,1,C37)*52,IF(F37="месяц",E37*IF(C37=0,1,C37)*12,E37*IF(C37=0,1,C37))))</f>
        <v/>
      </c>
      <c r="H37" s="8">
        <f>IF(G37=0,0,G37/12)</f>
        <v/>
      </c>
    </row>
    <row r="38" ht="20" customHeight="1">
      <c r="A38" s="14" t="n">
        <v>34</v>
      </c>
      <c r="B38" s="13" t="inlineStr">
        <is>
          <t>Пенал</t>
        </is>
      </c>
      <c r="C38" s="15" t="n">
        <v>1</v>
      </c>
      <c r="D38" s="16" t="inlineStr">
        <is>
          <t>https://www.detmir.ru/product/index/id/6400444/</t>
        </is>
      </c>
      <c r="E38" s="17" t="n">
        <v>479</v>
      </c>
      <c r="F38" s="15" t="n">
        <v>1</v>
      </c>
      <c r="G38" s="8">
        <f>IF(ISNUMBER(F38),IF(F38=0,0,E38*IF(C38=0,1,C38)/F38),IF(F38="неделя",E38*IF(C38=0,1,C38)*52,IF(F38="месяц",E38*IF(C38=0,1,C38)*12,E38*IF(C38=0,1,C38))))</f>
        <v/>
      </c>
      <c r="H38" s="8">
        <f>IF(G38=0,0,G38/12)</f>
        <v/>
      </c>
    </row>
    <row r="39" ht="20" customHeight="1">
      <c r="A39" s="14" t="n">
        <v>35</v>
      </c>
      <c r="B39" s="13" t="inlineStr">
        <is>
          <t>Пластилин 12 цв.</t>
        </is>
      </c>
      <c r="C39" s="15" t="n">
        <v>1</v>
      </c>
      <c r="D39" s="16" t="inlineStr">
        <is>
          <t>https://www.detmir.ru/search/results/?qt=%D0%BF%D0%BB%D0%B0%D1%81%D1%82%D0%B8%D0%BB%D0%B8%D0%BD</t>
        </is>
      </c>
      <c r="E39" s="17" t="n">
        <v>149</v>
      </c>
      <c r="F39" s="15" t="n">
        <v>1</v>
      </c>
      <c r="G39" s="8">
        <f>IF(ISNUMBER(F39),IF(F39=0,0,E39*IF(C39=0,1,C39)/F39),IF(F39="неделя",E39*IF(C39=0,1,C39)*52,IF(F39="месяц",E39*IF(C39=0,1,C39)*12,E39*IF(C39=0,1,C39))))</f>
        <v/>
      </c>
      <c r="H39" s="8">
        <f>IF(G39=0,0,G39/12)</f>
        <v/>
      </c>
    </row>
    <row r="40" ht="20" customHeight="1">
      <c r="A40" s="14" t="n">
        <v>36</v>
      </c>
      <c r="B40" s="13" t="inlineStr">
        <is>
          <t>Ручка синяя</t>
        </is>
      </c>
      <c r="C40" s="15" t="n">
        <v>10</v>
      </c>
      <c r="D40" s="16" t="inlineStr">
        <is>
          <t>https://www.detmir.ru/product/index/id/6505850/</t>
        </is>
      </c>
      <c r="E40" s="17" t="n">
        <v>50</v>
      </c>
      <c r="F40" s="15" t="n">
        <v>1</v>
      </c>
      <c r="G40" s="8">
        <f>IF(ISNUMBER(F40),IF(F40=0,0,E40*IF(C40=0,1,C40)/F40),IF(F40="неделя",E40*IF(C40=0,1,C40)*52,IF(F40="месяц",E40*IF(C40=0,1,C40)*12,E40*IF(C40=0,1,C40))))</f>
        <v/>
      </c>
      <c r="H40" s="8">
        <f>IF(G40=0,0,G40/12)</f>
        <v/>
      </c>
    </row>
    <row r="41" ht="20" customHeight="1">
      <c r="A41" s="14" t="n">
        <v>37</v>
      </c>
      <c r="B41" s="13" t="inlineStr">
        <is>
          <t>Тетрадь в клетку 18 л., твёрдая обложка</t>
        </is>
      </c>
      <c r="C41" s="15" t="n">
        <v>20</v>
      </c>
      <c r="D41" s="16" t="inlineStr">
        <is>
          <t>https://www.detmir.ru/search/results/?qt=%D1%82%D0%B5%D1%82%D1%80%D0%B0%D0%B4%D1%8C%2018%20%D0%BB%D0%B8%D1%81%D1%82%D0%BE%D0%B2%20%D1%82%D0%B2%D0%B5%D1%80%D0%B4%D0%B0%D1%8F%20%D0%BE%D0%B1%D0%BB%D0%BE%D0%B6%D0%BA%D0%B0%20%D0%BA%D0%BB%D0%B5%D1%82%D0%BA%D0%B0</t>
        </is>
      </c>
      <c r="E41" s="17" t="n">
        <v>50</v>
      </c>
      <c r="F41" s="15" t="n">
        <v>1</v>
      </c>
      <c r="G41" s="8">
        <f>IF(ISNUMBER(F41),IF(F41=0,0,E41*IF(C41=0,1,C41)/F41),IF(F41="неделя",E41*IF(C41=0,1,C41)*52,IF(F41="месяц",E41*IF(C41=0,1,C41)*12,E41*IF(C41=0,1,C41))))</f>
        <v/>
      </c>
      <c r="H41" s="8">
        <f>IF(G41=0,0,G41/12)</f>
        <v/>
      </c>
    </row>
    <row r="42" ht="20" customHeight="1">
      <c r="A42" s="14" t="n">
        <v>38</v>
      </c>
      <c r="B42" s="13" t="inlineStr">
        <is>
          <t>Тетрадь в линейку 12 л.</t>
        </is>
      </c>
      <c r="C42" s="15" t="n">
        <v>20</v>
      </c>
      <c r="D42" s="16" t="inlineStr">
        <is>
          <t>https://www.detmir.ru/product/index/id/6683471/</t>
        </is>
      </c>
      <c r="E42" s="17" t="n">
        <v>13.9</v>
      </c>
      <c r="F42" s="15" t="n">
        <v>1</v>
      </c>
      <c r="G42" s="8">
        <f>IF(ISNUMBER(F42),IF(F42=0,0,E42*IF(C42=0,1,C42)/F42),IF(F42="неделя",E42*IF(C42=0,1,C42)*52,IF(F42="месяц",E42*IF(C42=0,1,C42)*12,E42*IF(C42=0,1,C42))))</f>
        <v/>
      </c>
      <c r="H42" s="8">
        <f>IF(G42=0,0,G42/12)</f>
        <v/>
      </c>
    </row>
    <row r="43" ht="20" customHeight="1">
      <c r="A43" s="14" t="n">
        <v>39</v>
      </c>
      <c r="B43" s="13" t="inlineStr">
        <is>
          <t>Точилка</t>
        </is>
      </c>
      <c r="C43" s="15" t="n">
        <v>1</v>
      </c>
      <c r="D43" s="16" t="inlineStr">
        <is>
          <t>https://www.detmir.ru/search/results/?qt=%D1%82%D0%BE%D1%87%D0%B8%D0%BB%D0%BA%D0%B0</t>
        </is>
      </c>
      <c r="E43" s="17" t="n">
        <v>79</v>
      </c>
      <c r="F43" s="15" t="n">
        <v>1</v>
      </c>
      <c r="G43" s="8">
        <f>IF(ISNUMBER(F43),IF(F43=0,0,E43*IF(C43=0,1,C43)/F43),IF(F43="неделя",E43*IF(C43=0,1,C43)*52,IF(F43="месяц",E43*IF(C43=0,1,C43)*12,E43*IF(C43=0,1,C43))))</f>
        <v/>
      </c>
      <c r="H43" s="8">
        <f>IF(G43=0,0,G43/12)</f>
        <v/>
      </c>
    </row>
    <row r="44" ht="20" customHeight="1">
      <c r="A44" s="14" t="n">
        <v>40</v>
      </c>
      <c r="B44" s="13" t="inlineStr">
        <is>
          <t>Учебные пособия</t>
        </is>
      </c>
      <c r="C44" s="15" t="n">
        <v>1</v>
      </c>
      <c r="D44" s="16" t="inlineStr">
        <is>
          <t>https://www.detmir.ru/search/results/?qt=%D1%83%D1%87%D0%B5%D0%B1%D0%BD%D1%8B%D0%B5%20%D0%BF%D0%BE%D1%81%D0%BE%D0%B1%D0%B8%D1%8F</t>
        </is>
      </c>
      <c r="E44" s="17" t="n">
        <v>2000</v>
      </c>
      <c r="F44" s="15" t="n">
        <v>1</v>
      </c>
      <c r="G44" s="8">
        <f>IF(ISNUMBER(F44),IF(F44=0,0,E44*IF(C44=0,1,C44)/F44),IF(F44="неделя",E44*IF(C44=0,1,C44)*52,IF(F44="месяц",E44*IF(C44=0,1,C44)*12,E44*IF(C44=0,1,C44))))</f>
        <v/>
      </c>
      <c r="H44" s="8">
        <f>IF(G44=0,0,G44/12)</f>
        <v/>
      </c>
    </row>
    <row r="45" ht="20" customHeight="1">
      <c r="A45" s="14" t="n">
        <v>41</v>
      </c>
      <c r="B45" s="13" t="inlineStr">
        <is>
          <t>Фломастеры 50</t>
        </is>
      </c>
      <c r="C45" s="15" t="n">
        <v>2</v>
      </c>
      <c r="D45" s="16" t="inlineStr">
        <is>
          <t>https://www.detmir.ru/product/index/id/3293711/</t>
        </is>
      </c>
      <c r="E45" s="17" t="n">
        <v>549</v>
      </c>
      <c r="F45" s="15" t="n">
        <v>1</v>
      </c>
      <c r="G45" s="8">
        <f>IF(ISNUMBER(F45),IF(F45=0,0,E45*IF(C45=0,1,C45)/F45),IF(F45="неделя",E45*IF(C45=0,1,C45)*52,IF(F45="месяц",E45*IF(C45=0,1,C45)*12,E45*IF(C45=0,1,C45))))</f>
        <v/>
      </c>
      <c r="H45" s="8">
        <f>IF(G45=0,0,G45/12)</f>
        <v/>
      </c>
    </row>
    <row r="46" ht="20" customHeight="1">
      <c r="A46" s="14" t="n">
        <v>42</v>
      </c>
      <c r="B46" s="13" t="inlineStr">
        <is>
          <t>Цветная бумага</t>
        </is>
      </c>
      <c r="C46" s="15" t="n">
        <v>1</v>
      </c>
      <c r="D46" s="16" t="inlineStr">
        <is>
          <t>https://www.detmir.ru/search/results/?qt=%D1%86%D0%B2%D0%B5%D1%82%D0%BD%D0%B0%D1%8F%20%D0%B1%D1%83%D0%BC%D0%B0%D0%B3%D0%B0</t>
        </is>
      </c>
      <c r="E46" s="17" t="n">
        <v>69</v>
      </c>
      <c r="F46" s="15" t="n">
        <v>1</v>
      </c>
      <c r="G46" s="8">
        <f>IF(ISNUMBER(F46),IF(F46=0,0,E46*IF(C46=0,1,C46)/F46),IF(F46="неделя",E46*IF(C46=0,1,C46)*52,IF(F46="месяц",E46*IF(C46=0,1,C46)*12,E46*IF(C46=0,1,C46))))</f>
        <v/>
      </c>
      <c r="H46" s="8">
        <f>IF(G46=0,0,G46/12)</f>
        <v/>
      </c>
    </row>
    <row r="47" ht="20" customHeight="1">
      <c r="A47" s="14" t="n">
        <v>43</v>
      </c>
      <c r="B47" s="13" t="inlineStr">
        <is>
          <t>Питание в школе</t>
        </is>
      </c>
      <c r="C47" s="15" t="n">
        <v>170</v>
      </c>
      <c r="D47" s="12" t="inlineStr"/>
      <c r="E47" s="17" t="n">
        <v>100</v>
      </c>
      <c r="F47" s="15" t="n">
        <v>1</v>
      </c>
      <c r="G47" s="8">
        <f>IF(ISNUMBER(F47),IF(F47=0,0,E47*IF(C47=0,1,C47)/F47),IF(F47="неделя",E47*IF(C47=0,1,C47)*52,IF(F47="месяц",E47*IF(C47=0,1,C47)*12,E47*IF(C47=0,1,C47))))</f>
        <v/>
      </c>
      <c r="H47" s="8">
        <f>IF(G47=0,0,G47/12)</f>
        <v/>
      </c>
    </row>
    <row r="48" ht="20" customHeight="1">
      <c r="A48" s="14" t="n">
        <v>44</v>
      </c>
      <c r="B48" s="13" t="inlineStr">
        <is>
          <t>Платный курс (школа)</t>
        </is>
      </c>
      <c r="C48" s="15" t="n">
        <v>12</v>
      </c>
      <c r="D48" s="12" t="inlineStr"/>
      <c r="E48" s="17" t="n">
        <v>300</v>
      </c>
      <c r="F48" s="15" t="n">
        <v>1</v>
      </c>
      <c r="G48" s="8">
        <f>IF(ISNUMBER(F48),IF(F48=0,0,E48*IF(C48=0,1,C48)/F48),IF(F48="неделя",E48*IF(C48=0,1,C48)*52,IF(F48="месяц",E48*IF(C48=0,1,C48)*12,E48*IF(C48=0,1,C48))))</f>
        <v/>
      </c>
      <c r="H48" s="8">
        <f>IF(G48=0,0,G48/12)</f>
        <v/>
      </c>
    </row>
    <row r="49" ht="20" customHeight="1">
      <c r="A49" s="14" t="n">
        <v>45</v>
      </c>
      <c r="B49" s="13" t="inlineStr">
        <is>
          <t>Взносы в школу</t>
        </is>
      </c>
      <c r="C49" s="15" t="n">
        <v>1</v>
      </c>
      <c r="D49" s="12" t="inlineStr"/>
      <c r="E49" s="17" t="n">
        <v>3000</v>
      </c>
      <c r="F49" s="15" t="n">
        <v>1</v>
      </c>
      <c r="G49" s="8">
        <f>IF(ISNUMBER(F49),IF(F49=0,0,E49*IF(C49=0,1,C49)/F49),IF(F49="неделя",E49*IF(C49=0,1,C49)*52,IF(F49="месяц",E49*IF(C49=0,1,C49)*12,E49*IF(C49=0,1,C49))))</f>
        <v/>
      </c>
      <c r="H49" s="8">
        <f>IF(G49=0,0,G49/12)</f>
        <v/>
      </c>
    </row>
    <row r="51">
      <c r="A51" s="10" t="inlineStr">
        <is>
          <t>Итого: Обязательное образование: школа</t>
        </is>
      </c>
      <c r="B51" s="10" t="n"/>
      <c r="C51" s="10" t="n"/>
      <c r="D51" s="10" t="n"/>
      <c r="E51" s="10" t="n"/>
      <c r="F51" s="10" t="n"/>
      <c r="G51" s="11">
        <f>G5+G6+G7+G8+G9+G10+G11+G12+G13+G14+G15+G16+G17+G18+G19+G20+G21+G22+G23+G24+G25+G26+G27+G28+G29+G30+G31+G32+G33+G34+G35+G36+G37+G38+G39+G40+G41+G42+G43+G44+G45+G46+G47+G48+G49</f>
        <v/>
      </c>
      <c r="H51" s="11">
        <f>IF(G51=0,0,G51/12)</f>
        <v/>
      </c>
    </row>
  </sheetData>
  <mergeCells count="3">
    <mergeCell ref="A51:F5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  <hyperlink xmlns:r="http://schemas.openxmlformats.org/officeDocument/2006/relationships" ref="D24" r:id="rId20"/>
    <hyperlink xmlns:r="http://schemas.openxmlformats.org/officeDocument/2006/relationships" ref="D25" r:id="rId21"/>
    <hyperlink xmlns:r="http://schemas.openxmlformats.org/officeDocument/2006/relationships" ref="D26" r:id="rId22"/>
    <hyperlink xmlns:r="http://schemas.openxmlformats.org/officeDocument/2006/relationships" ref="D27" r:id="rId23"/>
    <hyperlink xmlns:r="http://schemas.openxmlformats.org/officeDocument/2006/relationships" ref="D28" r:id="rId24"/>
    <hyperlink xmlns:r="http://schemas.openxmlformats.org/officeDocument/2006/relationships" ref="D29" r:id="rId25"/>
    <hyperlink xmlns:r="http://schemas.openxmlformats.org/officeDocument/2006/relationships" ref="D30" r:id="rId26"/>
    <hyperlink xmlns:r="http://schemas.openxmlformats.org/officeDocument/2006/relationships" ref="D31" r:id="rId27"/>
    <hyperlink xmlns:r="http://schemas.openxmlformats.org/officeDocument/2006/relationships" ref="D32" r:id="rId28"/>
    <hyperlink xmlns:r="http://schemas.openxmlformats.org/officeDocument/2006/relationships" ref="D33" r:id="rId29"/>
    <hyperlink xmlns:r="http://schemas.openxmlformats.org/officeDocument/2006/relationships" ref="D34" r:id="rId30"/>
    <hyperlink xmlns:r="http://schemas.openxmlformats.org/officeDocument/2006/relationships" ref="D35" r:id="rId31"/>
    <hyperlink xmlns:r="http://schemas.openxmlformats.org/officeDocument/2006/relationships" ref="D36" r:id="rId32"/>
    <hyperlink xmlns:r="http://schemas.openxmlformats.org/officeDocument/2006/relationships" ref="D37" r:id="rId33"/>
    <hyperlink xmlns:r="http://schemas.openxmlformats.org/officeDocument/2006/relationships" ref="D38" r:id="rId34"/>
    <hyperlink xmlns:r="http://schemas.openxmlformats.org/officeDocument/2006/relationships" ref="D39" r:id="rId35"/>
    <hyperlink xmlns:r="http://schemas.openxmlformats.org/officeDocument/2006/relationships" ref="D40" r:id="rId36"/>
    <hyperlink xmlns:r="http://schemas.openxmlformats.org/officeDocument/2006/relationships" ref="D41" r:id="rId37"/>
    <hyperlink xmlns:r="http://schemas.openxmlformats.org/officeDocument/2006/relationships" ref="D42" r:id="rId38"/>
    <hyperlink xmlns:r="http://schemas.openxmlformats.org/officeDocument/2006/relationships" ref="D43" r:id="rId39"/>
    <hyperlink xmlns:r="http://schemas.openxmlformats.org/officeDocument/2006/relationships" ref="D44" r:id="rId40"/>
    <hyperlink xmlns:r="http://schemas.openxmlformats.org/officeDocument/2006/relationships" ref="D45" r:id="rId41"/>
    <hyperlink xmlns:r="http://schemas.openxmlformats.org/officeDocument/2006/relationships" ref="D46" r:id="rId42"/>
  </hyperlinks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Дополнительное образование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/ 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Курс английского, Language Secret</t>
        </is>
      </c>
      <c r="C5" s="15" t="n">
        <v>12</v>
      </c>
      <c r="D5" s="12" t="inlineStr"/>
      <c r="E5" s="17" t="n">
        <v>3440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Абонемент Олимпия Спорт</t>
        </is>
      </c>
      <c r="C6" s="15" t="n">
        <v>1</v>
      </c>
      <c r="D6" s="12" t="inlineStr"/>
      <c r="E6" s="17" t="n">
        <v>36000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Секция самбо</t>
        </is>
      </c>
      <c r="C7" s="15" t="n">
        <v>1</v>
      </c>
      <c r="D7" s="12" t="inlineStr"/>
      <c r="E7" s="17" t="n">
        <v>4000</v>
      </c>
      <c r="F7" s="15" t="inlineStr">
        <is>
          <t>месяц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9">
      <c r="A9" s="10" t="inlineStr">
        <is>
          <t>Итого: Дополнительное образование</t>
        </is>
      </c>
      <c r="B9" s="10" t="n"/>
      <c r="C9" s="10" t="n"/>
      <c r="D9" s="10" t="n"/>
      <c r="E9" s="10" t="n"/>
      <c r="F9" s="10" t="n"/>
      <c r="G9" s="11">
        <f>G5+G6+G7</f>
        <v/>
      </c>
      <c r="H9" s="11">
        <f>IF(G9=0,0,G9/12)</f>
        <v/>
      </c>
    </row>
  </sheetData>
  <mergeCells count="3">
    <mergeCell ref="A2:H2"/>
    <mergeCell ref="A9:F9"/>
    <mergeCell ref="A1:H1"/>
  </mergeCells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Лекарства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Долфин</t>
        </is>
      </c>
      <c r="C5" s="15" t="n">
        <v>1</v>
      </c>
      <c r="D5" s="16" t="inlineStr">
        <is>
          <t>https://www.eapteka.ru/goods/id215357/</t>
        </is>
      </c>
      <c r="E5" s="17" t="n">
        <v>548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Йод</t>
        </is>
      </c>
      <c r="C6" s="15" t="n">
        <v>1</v>
      </c>
      <c r="D6" s="16" t="inlineStr">
        <is>
          <t>https://www.eapteka.ru/search/?q=%D0%B9%D0%BE%D0%B4</t>
        </is>
      </c>
      <c r="E6" s="17" t="n">
        <v>59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Макмирор</t>
        </is>
      </c>
      <c r="C7" s="15" t="n">
        <v>9</v>
      </c>
      <c r="D7" s="16" t="inlineStr">
        <is>
          <t>https://apteka.magnit.ru/product/7000001484-makmiror_tabletki_200mg_20sht</t>
        </is>
      </c>
      <c r="E7" s="17" t="n">
        <v>1470</v>
      </c>
      <c r="F7" s="15" t="inlineStr">
        <is>
          <t>год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Називин, 1 флакон</t>
        </is>
      </c>
      <c r="C8" s="15" t="n">
        <v>1</v>
      </c>
      <c r="D8" s="16" t="inlineStr">
        <is>
          <t>https://www.eapteka.ru/search/?q=%D0%BD%D0%B0%D0%B7%D0%B8%D0%B2%D0%B8%D0%BD</t>
        </is>
      </c>
      <c r="E8" s="17" t="n">
        <v>340</v>
      </c>
      <c r="F8" s="15" t="inlineStr">
        <is>
          <t>год</t>
        </is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Перекись водорода</t>
        </is>
      </c>
      <c r="C9" s="15" t="n">
        <v>1</v>
      </c>
      <c r="D9" s="16" t="inlineStr">
        <is>
          <t>https://www.eapteka.ru/search/?q=%D0%BF%D0%B5%D1%80%D0%B5%D0%BA%D0%B8%D1%81%D1%8C%20%D0%B2%D0%BE%D0%B4%D0%BE%D1%80%D0%BE%D0%B4%D0%B0</t>
        </is>
      </c>
      <c r="E9" s="17" t="n">
        <v>45</v>
      </c>
      <c r="F9" s="15" t="inlineStr">
        <is>
          <t>год</t>
        </is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Пирантел жидкий</t>
        </is>
      </c>
      <c r="C10" s="15" t="n">
        <v>2</v>
      </c>
      <c r="D10" s="16" t="inlineStr">
        <is>
          <t>https://www.eapteka.ru/search/?q=%D0%BF%D0%B8%D1%80%D0%B0%D0%BD%D1%82%D0%B5%D0%BB%20%D1%81%D1%83%D1%81%D0%BF%D0%B5%D0%BD%D0%B7%D0%B8%D1%8F</t>
        </is>
      </c>
      <c r="E10" s="17" t="n">
        <v>140</v>
      </c>
      <c r="F10" s="15" t="inlineStr">
        <is>
          <t>год</t>
        </is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Пластыри</t>
        </is>
      </c>
      <c r="C11" s="15" t="n">
        <v>1</v>
      </c>
      <c r="D11" s="16" t="inlineStr">
        <is>
          <t>https://www.eapteka.ru/search/?q=%D0%BF%D0%BB%D0%B0%D1%81%D1%82%D1%8B%D1%80%D1%8C</t>
        </is>
      </c>
      <c r="E11" s="17" t="n">
        <v>99</v>
      </c>
      <c r="F11" s="15" t="inlineStr">
        <is>
          <t>год</t>
        </is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Ушные капли</t>
        </is>
      </c>
      <c r="C12" s="15" t="n">
        <v>1</v>
      </c>
      <c r="D12" s="16" t="inlineStr">
        <is>
          <t>https://www.eapteka.ru/search/?q=%D1%83%D1%88%D0%BD%D1%8B%D0%B5%20%D0%BA%D0%B0%D0%BF%D0%BB%D0%B8</t>
        </is>
      </c>
      <c r="E12" s="17" t="n">
        <v>300</v>
      </c>
      <c r="F12" s="15" t="inlineStr">
        <is>
          <t>год</t>
        </is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4">
      <c r="A14" s="10" t="inlineStr">
        <is>
          <t>Итого: Лекарства</t>
        </is>
      </c>
      <c r="B14" s="10" t="n"/>
      <c r="C14" s="10" t="n"/>
      <c r="D14" s="10" t="n"/>
      <c r="E14" s="10" t="n"/>
      <c r="F14" s="10" t="n"/>
      <c r="G14" s="11">
        <f>G5+G6+G7+G8+G9+G10+G11+G12</f>
        <v/>
      </c>
      <c r="H14" s="11">
        <f>IF(G14=0,0,G14/12)</f>
        <v/>
      </c>
    </row>
  </sheetData>
  <mergeCells count="3">
    <mergeCell ref="A14:F14"/>
    <mergeCell ref="A2:H2"/>
    <mergeCell ref="A1:H1"/>
  </mergeCells>
  <dataValidations count="1">
    <dataValidation sqref="F5:F12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</hyperlinks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Медицинские услуги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Лечение зуба</t>
        </is>
      </c>
      <c r="C5" s="15" t="n">
        <v>1</v>
      </c>
      <c r="D5" s="12" t="inlineStr"/>
      <c r="E5" s="17" t="n">
        <v>6000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7">
      <c r="A7" s="10" t="inlineStr">
        <is>
          <t>Итого: Медицинские услуги</t>
        </is>
      </c>
      <c r="B7" s="10" t="n"/>
      <c r="C7" s="10" t="n"/>
      <c r="D7" s="10" t="n"/>
      <c r="E7" s="10" t="n"/>
      <c r="F7" s="10" t="n"/>
      <c r="G7" s="11">
        <f>G5</f>
        <v/>
      </c>
      <c r="H7" s="11">
        <f>IF(G7=0,0,G7/12)</f>
        <v/>
      </c>
    </row>
  </sheetData>
  <mergeCells count="3">
    <mergeCell ref="A2:H2"/>
    <mergeCell ref="A7:F7"/>
    <mergeCell ref="A1:H1"/>
  </mergeCells>
  <dataValidations count="1">
    <dataValidation sqref="F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Карманные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Карманные расходы</t>
        </is>
      </c>
      <c r="C5" s="15" t="n">
        <v>1</v>
      </c>
      <c r="D5" s="17" t="n">
        <v>1000</v>
      </c>
      <c r="E5" s="15" t="inlineStr">
        <is>
          <t>неделя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7">
      <c r="A7" s="10" t="inlineStr">
        <is>
          <t>Итого: Карманные</t>
        </is>
      </c>
      <c r="B7" s="10" t="n"/>
      <c r="C7" s="10" t="n"/>
      <c r="D7" s="10" t="n"/>
      <c r="E7" s="10" t="n"/>
      <c r="F7" s="11">
        <f>F5</f>
        <v/>
      </c>
      <c r="G7" s="11">
        <f>IF(F7=0,0,F7/12)</f>
        <v/>
      </c>
    </row>
  </sheetData>
  <mergeCells count="3">
    <mergeCell ref="A7:E7"/>
    <mergeCell ref="A2:G2"/>
    <mergeCell ref="A1:G1"/>
  </mergeCells>
  <dataValidations count="1">
    <dataValidation sqref="E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Оборудование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Оплата мобильного</t>
        </is>
      </c>
      <c r="C5" s="15" t="n">
        <v>1</v>
      </c>
      <c r="D5" s="17" t="n">
        <v>300</v>
      </c>
      <c r="E5" s="15" t="inlineStr">
        <is>
          <t>месяц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7">
      <c r="A7" s="10" t="inlineStr">
        <is>
          <t>Итого: Оборудование</t>
        </is>
      </c>
      <c r="B7" s="10" t="n"/>
      <c r="C7" s="10" t="n"/>
      <c r="D7" s="10" t="n"/>
      <c r="E7" s="10" t="n"/>
      <c r="F7" s="11">
        <f>F5</f>
        <v/>
      </c>
      <c r="G7" s="11">
        <f>IF(F7=0,0,F7/12)</f>
        <v/>
      </c>
    </row>
  </sheetData>
  <mergeCells count="3">
    <mergeCell ref="A7:E7"/>
    <mergeCell ref="A2:G2"/>
    <mergeCell ref="A1:G1"/>
  </mergeCells>
  <dataValidations count="1">
    <dataValidation sqref="E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Праздники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Срок службы (лет)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Букет учителю</t>
        </is>
      </c>
      <c r="C5" s="15" t="n">
        <v>1</v>
      </c>
      <c r="D5" s="17" t="n">
        <v>2000</v>
      </c>
      <c r="E5" s="15" t="n">
        <v>1</v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Выпускной</t>
        </is>
      </c>
      <c r="C6" s="15" t="n">
        <v>1</v>
      </c>
      <c r="D6" s="17" t="n">
        <v>10000</v>
      </c>
      <c r="E6" s="15" t="n">
        <v>5</v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День рождения: подарок</t>
        </is>
      </c>
      <c r="C7" s="15" t="n">
        <v>1</v>
      </c>
      <c r="D7" s="17" t="n">
        <v>5000</v>
      </c>
      <c r="E7" s="15" t="n">
        <v>1</v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8" ht="20" customHeight="1">
      <c r="A8" s="14" t="n">
        <v>4</v>
      </c>
      <c r="B8" s="13" t="inlineStr">
        <is>
          <t>День рождения: стол</t>
        </is>
      </c>
      <c r="C8" s="15" t="n">
        <v>1</v>
      </c>
      <c r="D8" s="17" t="n">
        <v>5000</v>
      </c>
      <c r="E8" s="15" t="n">
        <v>1</v>
      </c>
      <c r="F8" s="8">
        <f>IF(ISNUMBER(E8),IF(E8=0,0,D8*IF(C8=0,1,C8)/E8),IF(E8="неделя",D8*IF(C8=0,1,C8)*52,IF(E8="месяц",D8*IF(C8=0,1,C8)*12,D8*IF(C8=0,1,C8))))</f>
        <v/>
      </c>
      <c r="G8" s="8">
        <f>IF(F8=0,0,F8/12)</f>
        <v/>
      </c>
    </row>
    <row r="9" ht="20" customHeight="1">
      <c r="A9" s="14" t="n">
        <v>5</v>
      </c>
      <c r="B9" s="13" t="inlineStr">
        <is>
          <t>Новый год: подарок ребёнку</t>
        </is>
      </c>
      <c r="C9" s="15" t="n">
        <v>1</v>
      </c>
      <c r="D9" s="17" t="n">
        <v>5000</v>
      </c>
      <c r="E9" s="15" t="n">
        <v>1</v>
      </c>
      <c r="F9" s="8">
        <f>IF(ISNUMBER(E9),IF(E9=0,0,D9*IF(C9=0,1,C9)/E9),IF(E9="неделя",D9*IF(C9=0,1,C9)*52,IF(E9="месяц",D9*IF(C9=0,1,C9)*12,D9*IF(C9=0,1,C9))))</f>
        <v/>
      </c>
      <c r="G9" s="8">
        <f>IF(F9=0,0,F9/12)</f>
        <v/>
      </c>
    </row>
    <row r="10" ht="20" customHeight="1">
      <c r="A10" s="14" t="n">
        <v>6</v>
      </c>
      <c r="B10" s="13" t="inlineStr">
        <is>
          <t>Подарок на 23 февраля</t>
        </is>
      </c>
      <c r="C10" s="15" t="n">
        <v>1</v>
      </c>
      <c r="D10" s="17" t="n">
        <v>2000</v>
      </c>
      <c r="E10" s="15" t="n">
        <v>1</v>
      </c>
      <c r="F10" s="8">
        <f>IF(ISNUMBER(E10),IF(E10=0,0,D10*IF(C10=0,1,C10)/E10),IF(E10="неделя",D10*IF(C10=0,1,C10)*52,IF(E10="месяц",D10*IF(C10=0,1,C10)*12,D10*IF(C10=0,1,C10))))</f>
        <v/>
      </c>
      <c r="G10" s="8">
        <f>IF(F10=0,0,F10/12)</f>
        <v/>
      </c>
    </row>
    <row r="11" ht="20" customHeight="1">
      <c r="A11" s="14" t="n">
        <v>7</v>
      </c>
      <c r="B11" s="13" t="inlineStr">
        <is>
          <t>Поездки и мероприятия школы</t>
        </is>
      </c>
      <c r="C11" s="15" t="n">
        <v>12</v>
      </c>
      <c r="D11" s="17" t="n">
        <v>500</v>
      </c>
      <c r="E11" s="15" t="n">
        <v>1</v>
      </c>
      <c r="F11" s="8">
        <f>IF(ISNUMBER(E11),IF(E11=0,0,D11*IF(C11=0,1,C11)/E11),IF(E11="неделя",D11*IF(C11=0,1,C11)*52,IF(E11="месяц",D11*IF(C11=0,1,C11)*12,D11*IF(C11=0,1,C11))))</f>
        <v/>
      </c>
      <c r="G11" s="8">
        <f>IF(F11=0,0,F11/12)</f>
        <v/>
      </c>
    </row>
    <row r="12" ht="20" customHeight="1">
      <c r="A12" s="14" t="n">
        <v>8</v>
      </c>
      <c r="B12" s="13" t="inlineStr">
        <is>
          <t>Хотелочки</t>
        </is>
      </c>
      <c r="C12" s="15" t="n">
        <v>12</v>
      </c>
      <c r="D12" s="17" t="n">
        <v>2000</v>
      </c>
      <c r="E12" s="15" t="n">
        <v>1</v>
      </c>
      <c r="F12" s="8">
        <f>IF(ISNUMBER(E12),IF(E12=0,0,D12*IF(C12=0,1,C12)/E12),IF(E12="неделя",D12*IF(C12=0,1,C12)*52,IF(E12="месяц",D12*IF(C12=0,1,C12)*12,D12*IF(C12=0,1,C12))))</f>
        <v/>
      </c>
      <c r="G12" s="8">
        <f>IF(F12=0,0,F12/12)</f>
        <v/>
      </c>
    </row>
    <row r="14">
      <c r="A14" s="10" t="inlineStr">
        <is>
          <t>Итого: Праздники</t>
        </is>
      </c>
      <c r="B14" s="10" t="n"/>
      <c r="C14" s="10" t="n"/>
      <c r="D14" s="10" t="n"/>
      <c r="E14" s="10" t="n"/>
      <c r="F14" s="11">
        <f>F5+F6+F7+F8+F9+F10+F11+F12</f>
        <v/>
      </c>
      <c r="G14" s="11">
        <f>IF(F14=0,0,F14/12)</f>
        <v/>
      </c>
    </row>
  </sheetData>
  <mergeCells count="3">
    <mergeCell ref="A2:G2"/>
    <mergeCell ref="A1:G1"/>
    <mergeCell ref="A14:E14"/>
  </mergeCells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1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Хобби и развлечения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Бургер Кинг / кафе</t>
        </is>
      </c>
      <c r="C5" s="15" t="n">
        <v>1</v>
      </c>
      <c r="D5" s="17" t="n">
        <v>1100</v>
      </c>
      <c r="E5" s="15" t="inlineStr">
        <is>
          <t>неделя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Зоопарк</t>
        </is>
      </c>
      <c r="C6" s="15" t="n">
        <v>1</v>
      </c>
      <c r="D6" s="17" t="n">
        <v>375</v>
      </c>
      <c r="E6" s="15" t="inlineStr">
        <is>
          <t>год</t>
        </is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Кино</t>
        </is>
      </c>
      <c r="C7" s="15" t="n">
        <v>1</v>
      </c>
      <c r="D7" s="17" t="n">
        <v>570</v>
      </c>
      <c r="E7" s="15" t="inlineStr">
        <is>
          <t>месяц</t>
        </is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8" ht="20" customHeight="1">
      <c r="A8" s="14" t="n">
        <v>4</v>
      </c>
      <c r="B8" s="13" t="inlineStr">
        <is>
          <t>Поход в цирк</t>
        </is>
      </c>
      <c r="C8" s="15" t="n">
        <v>1</v>
      </c>
      <c r="D8" s="17" t="n">
        <v>2250</v>
      </c>
      <c r="E8" s="15" t="inlineStr">
        <is>
          <t>год</t>
        </is>
      </c>
      <c r="F8" s="8">
        <f>IF(ISNUMBER(E8),IF(E8=0,0,D8*IF(C8=0,1,C8)/E8),IF(E8="неделя",D8*IF(C8=0,1,C8)*52,IF(E8="месяц",D8*IF(C8=0,1,C8)*12,D8*IF(C8=0,1,C8))))</f>
        <v/>
      </c>
      <c r="G8" s="8">
        <f>IF(F8=0,0,F8/12)</f>
        <v/>
      </c>
    </row>
    <row r="10">
      <c r="A10" s="10" t="inlineStr">
        <is>
          <t>Итого: Хобби и развлечения</t>
        </is>
      </c>
      <c r="B10" s="10" t="n"/>
      <c r="C10" s="10" t="n"/>
      <c r="D10" s="10" t="n"/>
      <c r="E10" s="10" t="n"/>
      <c r="F10" s="11">
        <f>F5+F6+F7+F8</f>
        <v/>
      </c>
      <c r="G10" s="11">
        <f>IF(F10=0,0,F10/12)</f>
        <v/>
      </c>
    </row>
  </sheetData>
  <mergeCells count="3">
    <mergeCell ref="A2:G2"/>
    <mergeCell ref="A1:G1"/>
    <mergeCell ref="A10:E10"/>
  </mergeCells>
  <dataValidations count="1">
    <dataValidation sqref="E5:E8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косметика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Ariel Color 6 кг</t>
        </is>
      </c>
      <c r="C5" s="15" t="n">
        <v>6</v>
      </c>
      <c r="D5" s="16" t="inlineStr">
        <is>
          <t>https://magnit.ru/catalog?q=ariel%20color%206</t>
        </is>
      </c>
      <c r="E5" s="17" t="n">
        <v>1399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Lenor ополаскиватель</t>
        </is>
      </c>
      <c r="C6" s="15" t="n">
        <v>6</v>
      </c>
      <c r="D6" s="16" t="inlineStr">
        <is>
          <t>https://magnit.ru/catalog?q=lenor</t>
        </is>
      </c>
      <c r="E6" s="17" t="n">
        <v>349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Ватные диски</t>
        </is>
      </c>
      <c r="C7" s="15" t="n">
        <v>1</v>
      </c>
      <c r="D7" s="16" t="inlineStr">
        <is>
          <t>https://magnit.ru/catalog?q=%D0%B2%D0%B0%D1%82%D0%BD%D1%8B%D0%B5%20%D0%B4%D0%B8%D1%81%D0%BA%D0%B8</t>
        </is>
      </c>
      <c r="E7" s="17" t="n">
        <v>99</v>
      </c>
      <c r="F7" s="15" t="inlineStr">
        <is>
          <t>месяц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Ватные палочки</t>
        </is>
      </c>
      <c r="C8" s="15" t="n">
        <v>1</v>
      </c>
      <c r="D8" s="16" t="inlineStr">
        <is>
          <t>https://magnit.ru/catalog?q=%D0%B2%D0%B0%D1%82%D0%BD%D1%8B%D0%B5%20%D0%BF%D0%B0%D0%BB%D0%BE%D1%87%D0%BA%D0%B8</t>
        </is>
      </c>
      <c r="E8" s="17" t="n">
        <v>89</v>
      </c>
      <c r="F8" s="15" t="inlineStr">
        <is>
          <t>месяц</t>
        </is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Мыло туалетное</t>
        </is>
      </c>
      <c r="C9" s="15" t="n">
        <v>1</v>
      </c>
      <c r="D9" s="16" t="inlineStr">
        <is>
          <t>https://magnit.ru/catalog?q=%D0%BC%D1%8B%D0%BB%D0%BE%20%D1%82%D1%83%D0%B0%D0%BB%D0%B5%D1%82%D0%BD%D0%BE%D0%B5</t>
        </is>
      </c>
      <c r="E9" s="17" t="n">
        <v>120</v>
      </c>
      <c r="F9" s="15" t="inlineStr">
        <is>
          <t>месяц</t>
        </is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 семья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  <row r="12">
      <c r="A12" s="10" t="inlineStr">
        <is>
          <t>Итого на ребёнка (÷3)</t>
        </is>
      </c>
      <c r="B12" s="10" t="n"/>
      <c r="C12" s="10" t="n"/>
      <c r="D12" s="10" t="n"/>
      <c r="E12" s="10" t="n"/>
      <c r="F12" s="10" t="n"/>
      <c r="G12" s="11">
        <f>G11/3</f>
        <v/>
      </c>
      <c r="H12" s="11">
        <f>H11/3</f>
        <v/>
      </c>
    </row>
  </sheetData>
  <mergeCells count="4">
    <mergeCell ref="A11:F11"/>
    <mergeCell ref="A2:H2"/>
    <mergeCell ref="A12:F12"/>
    <mergeCell ref="A1:H1"/>
  </mergeCells>
  <dataValidations count="1">
    <dataValidation sqref="F5:F9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посуда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/ 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Графин для воды</t>
        </is>
      </c>
      <c r="C5" s="15" t="n">
        <v>1</v>
      </c>
      <c r="D5" s="16" t="inlineStr">
        <is>
          <t>https://leroymerlin.ru/search/?q=%D0%B3%D1%80%D0%B0%D1%84%D0%B8%D0%BD%20%D0%B4%D0%BB%D1%8F%20%D0%B2%D0%BE%D0%B4%D1%8B</t>
        </is>
      </c>
      <c r="E5" s="17" t="n">
        <v>999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Кассета для фильтра Барьер</t>
        </is>
      </c>
      <c r="C6" s="15" t="n">
        <v>1</v>
      </c>
      <c r="D6" s="16" t="inlineStr">
        <is>
          <t>https://barrier.ru/</t>
        </is>
      </c>
      <c r="E6" s="17" t="n">
        <v>400</v>
      </c>
      <c r="F6" s="15" t="inlineStr">
        <is>
          <t>месяц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Контейнер для круп</t>
        </is>
      </c>
      <c r="C7" s="15" t="n">
        <v>10</v>
      </c>
      <c r="D7" s="16" t="inlineStr">
        <is>
          <t>https://leroymerlin.ru/search/?q=%D0%BA%D0%BE%D0%BD%D1%82%D0%B5%D0%B9%D0%BD%D0%B5%D1%80%20%D0%B4%D0%BB%D1%8F%20%D0%BA%D1%80%D1%83%D0%BF</t>
        </is>
      </c>
      <c r="E7" s="17" t="n">
        <v>199</v>
      </c>
      <c r="F7" s="15" t="n">
        <v>5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Набор кастрюль металлический, 4 шт.</t>
        </is>
      </c>
      <c r="C8" s="15" t="n">
        <v>1</v>
      </c>
      <c r="D8" s="16" t="inlineStr">
        <is>
          <t>https://www.dns-shop.ru/search/?q=%D0%BD%D0%B0%D0%B1%D0%BE%D1%80%20%D0%BA%D0%B0%D1%81%D1%82%D1%80%D1%8E%D0%BB%D1%8C%20%D0%BD%D0%B5%D1%80%D0%B6%D0%B0%D0%B2%D0%B5%D1%8E%D1%89%D0%B0%D1%8F</t>
        </is>
      </c>
      <c r="E8" s="17" t="n">
        <v>4999</v>
      </c>
      <c r="F8" s="15" t="n">
        <v>10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Набор кастрюль, 2 шт.</t>
        </is>
      </c>
      <c r="C9" s="15" t="n">
        <v>1</v>
      </c>
      <c r="D9" s="16" t="inlineStr">
        <is>
          <t>https://www.dns-shop.ru/search/?q=%D0%BD%D0%B0%D0%B1%D0%BE%D1%80%20%D0%BA%D0%B0%D1%81%D1%82%D1%80%D1%8E%D0%BB%D1%8C</t>
        </is>
      </c>
      <c r="E9" s="17" t="n">
        <v>2499</v>
      </c>
      <c r="F9" s="15" t="n">
        <v>10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Нож столовый</t>
        </is>
      </c>
      <c r="C10" s="15" t="n">
        <v>2</v>
      </c>
      <c r="D10" s="16" t="inlineStr">
        <is>
          <t>https://leroymerlin.ru/search/?q=%D0%BD%D0%BE%D0%B6%20%D1%81%D1%82%D0%BE%D0%BB%D0%BE%D0%B2%D1%8B%D0%B9</t>
        </is>
      </c>
      <c r="E10" s="17" t="n">
        <v>149</v>
      </c>
      <c r="F10" s="15" t="n">
        <v>5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Разделочная доска</t>
        </is>
      </c>
      <c r="C11" s="15" t="n">
        <v>1</v>
      </c>
      <c r="D11" s="16" t="inlineStr">
        <is>
          <t>https://leroymerlin.ru/search/?q=%D0%B4%D0%BE%D1%81%D0%BA%D0%B0%20%D1%80%D0%B0%D0%B7%D0%B4%D0%B5%D0%BB%D0%BE%D1%87%D0%BD%D0%B0%D1%8F</t>
        </is>
      </c>
      <c r="E11" s="17" t="n">
        <v>599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Салатник</t>
        </is>
      </c>
      <c r="C12" s="15" t="n">
        <v>2</v>
      </c>
      <c r="D12" s="16" t="inlineStr">
        <is>
          <t>https://leroymerlin.ru/search/?q=%D1%81%D0%B0%D0%BB%D0%B0%D1%82%D0%BD%D0%B8%D0%BA</t>
        </is>
      </c>
      <c r="E12" s="17" t="n">
        <v>399</v>
      </c>
      <c r="F12" s="15" t="n">
        <v>5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Сковорода большая</t>
        </is>
      </c>
      <c r="C13" s="15" t="n">
        <v>1</v>
      </c>
      <c r="D13" s="16" t="inlineStr">
        <is>
          <t>https://www.dns-shop.ru/search/?q=%D1%81%D0%BA%D0%BE%D0%B2%D0%BE%D1%80%D0%BE%D0%B4%D0%B0</t>
        </is>
      </c>
      <c r="E13" s="17" t="n">
        <v>3000</v>
      </c>
      <c r="F13" s="15" t="n">
        <v>5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Столовая ложка</t>
        </is>
      </c>
      <c r="C14" s="15" t="n">
        <v>6</v>
      </c>
      <c r="D14" s="16" t="inlineStr">
        <is>
          <t>https://leroymerlin.ru/search/?q=%D0%BB%D0%BE%D0%B6%D0%BA%D0%B0%20%D1%81%D1%82%D0%BE%D0%BB%D0%BE%D0%B2%D0%B0%D1%8F</t>
        </is>
      </c>
      <c r="E14" s="17" t="n">
        <v>59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Тарелка глубокая</t>
        </is>
      </c>
      <c r="C15" s="15" t="n">
        <v>6</v>
      </c>
      <c r="D15" s="16" t="inlineStr">
        <is>
          <t>https://leroymerlin.ru/search/?q=%D1%82%D0%B0%D1%80%D0%B5%D0%BB%D0%BA%D0%B0%20%D0%B3%D0%BB%D1%83%D0%B1%D0%BE%D0%BA%D0%B0%D1%8F</t>
        </is>
      </c>
      <c r="E15" s="17" t="n">
        <v>249</v>
      </c>
      <c r="F15" s="15" t="n">
        <v>5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Тарелка мелкая</t>
        </is>
      </c>
      <c r="C16" s="15" t="n">
        <v>6</v>
      </c>
      <c r="D16" s="16" t="inlineStr">
        <is>
          <t>https://leroymerlin.ru/search/?q=%D1%82%D0%B0%D1%80%D0%B5%D0%BB%D0%BA%D0%B0%20%D0%BC%D0%B5%D0%BB%D0%BA%D0%B0%D1%8F</t>
        </is>
      </c>
      <c r="E16" s="17" t="n">
        <v>199</v>
      </c>
      <c r="F16" s="15" t="n">
        <v>5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Тёрка</t>
        </is>
      </c>
      <c r="C17" s="15" t="n">
        <v>1</v>
      </c>
      <c r="D17" s="16" t="inlineStr">
        <is>
          <t>https://leroymerlin.ru/search/?q=%D1%82%D0%B5%D1%80%D0%BA%D0%B0</t>
        </is>
      </c>
      <c r="E17" s="17" t="n">
        <v>399</v>
      </c>
      <c r="F17" s="15" t="n">
        <v>5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Чайная ложка</t>
        </is>
      </c>
      <c r="C18" s="15" t="n">
        <v>6</v>
      </c>
      <c r="D18" s="16" t="inlineStr">
        <is>
          <t>https://leroymerlin.ru/search/?q=%D0%BB%D0%BE%D0%B6%D0%BA%D0%B0%20%D1%87%D0%B0%D0%B9%D0%BD%D0%B0%D1%8F</t>
        </is>
      </c>
      <c r="E18" s="17" t="n">
        <v>49</v>
      </c>
      <c r="F18" s="15" t="n">
        <v>5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Чайник металлический</t>
        </is>
      </c>
      <c r="C19" s="15" t="n">
        <v>1</v>
      </c>
      <c r="D19" s="16" t="inlineStr">
        <is>
          <t>https://www.dns-shop.ru/search/?q=%D1%87%D0%B0%D0%B9%D0%BD%D0%B8%D0%BA%20tefal</t>
        </is>
      </c>
      <c r="E19" s="17" t="n">
        <v>2999</v>
      </c>
      <c r="F19" s="15" t="n">
        <v>7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Чашка</t>
        </is>
      </c>
      <c r="C20" s="15" t="n">
        <v>6</v>
      </c>
      <c r="D20" s="16" t="inlineStr">
        <is>
          <t>https://leroymerlin.ru/search/?q=%D1%87%D0%B0%D1%88%D0%BA%D0%B0</t>
        </is>
      </c>
      <c r="E20" s="17" t="n">
        <v>199</v>
      </c>
      <c r="F20" s="15" t="n">
        <v>5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2">
      <c r="A22" s="10" t="inlineStr">
        <is>
          <t>Итого семья</t>
        </is>
      </c>
      <c r="B22" s="10" t="n"/>
      <c r="C22" s="10" t="n"/>
      <c r="D22" s="10" t="n"/>
      <c r="E22" s="10" t="n"/>
      <c r="F22" s="10" t="n"/>
      <c r="G22" s="11">
        <f>G5+G6+G7+G8+G9+G10+G11+G12+G13+G14+G15+G16+G17+G18+G19+G20</f>
        <v/>
      </c>
      <c r="H22" s="11">
        <f>IF(G22=0,0,G22/12)</f>
        <v/>
      </c>
    </row>
    <row r="23">
      <c r="A23" s="10" t="inlineStr">
        <is>
          <t>Итого на ребёнка (÷3)</t>
        </is>
      </c>
      <c r="B23" s="10" t="n"/>
      <c r="C23" s="10" t="n"/>
      <c r="D23" s="10" t="n"/>
      <c r="E23" s="10" t="n"/>
      <c r="F23" s="10" t="n"/>
      <c r="G23" s="11">
        <f>G22/3</f>
        <v/>
      </c>
      <c r="H23" s="11">
        <f>H22/3</f>
        <v/>
      </c>
    </row>
  </sheetData>
  <mergeCells count="4">
    <mergeCell ref="A22:F22"/>
    <mergeCell ref="A2:H2"/>
    <mergeCell ref="A23:F23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</hyperlinks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техника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Колонка Sony</t>
        </is>
      </c>
      <c r="C5" s="15" t="n">
        <v>1</v>
      </c>
      <c r="D5" s="16" t="inlineStr">
        <is>
          <t>https://www.dns-shop.ru/search/?q=%D0%BA%D0%BE%D0%BB%D0%BE%D0%BD%D0%BA%D0%B0%20sony</t>
        </is>
      </c>
      <c r="E5" s="17" t="n">
        <v>2000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Микроволновка</t>
        </is>
      </c>
      <c r="C6" s="15" t="n">
        <v>1</v>
      </c>
      <c r="D6" s="16" t="inlineStr">
        <is>
          <t>https://www.dns-shop.ru/search/?q=%D0%BC%D0%B8%D0%BA%D1%80%D0%BE%D0%B2%D0%BE%D0%BB%D0%BD%D0%BE%D0%B2%D0%BA%D0%B0</t>
        </is>
      </c>
      <c r="E6" s="17" t="n">
        <v>6999</v>
      </c>
      <c r="F6" s="15" t="n">
        <v>8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Мультиварка</t>
        </is>
      </c>
      <c r="C7" s="15" t="n">
        <v>1</v>
      </c>
      <c r="D7" s="16" t="inlineStr">
        <is>
          <t>https://www.dns-shop.ru/search/?q=%D0%BC%D1%83%D0%BB%D1%8C%D1%82%D0%B8%D0%B2%D0%B0%D1%80%D0%BA%D0%B0</t>
        </is>
      </c>
      <c r="E7" s="17" t="n">
        <v>6999</v>
      </c>
      <c r="F7" s="15" t="n">
        <v>7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Мясорубка</t>
        </is>
      </c>
      <c r="C8" s="15" t="n">
        <v>1</v>
      </c>
      <c r="D8" s="16" t="inlineStr">
        <is>
          <t>https://www.dns-shop.ru/search/?q=%D0%BC%D1%8F%D1%81%D0%BE%D1%80%D1%83%D0%B1%D0%BA%D0%B0</t>
        </is>
      </c>
      <c r="E8" s="17" t="n">
        <v>3999</v>
      </c>
      <c r="F8" s="15" t="n">
        <v>8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Пароварка</t>
        </is>
      </c>
      <c r="C9" s="15" t="n">
        <v>1</v>
      </c>
      <c r="D9" s="16" t="inlineStr">
        <is>
          <t>https://www.dns-shop.ru/search/?q=%D0%BF%D0%B0%D1%80%D0%BE%D0%B2%D0%B0%D1%80%D0%BA%D0%B0</t>
        </is>
      </c>
      <c r="E9" s="17" t="n">
        <v>4499</v>
      </c>
      <c r="F9" s="15" t="n">
        <v>7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Плита газовая</t>
        </is>
      </c>
      <c r="C10" s="15" t="n">
        <v>1</v>
      </c>
      <c r="D10" s="16" t="inlineStr">
        <is>
          <t>https://www.dns-shop.ru/search/?q=%D0%BF%D0%BB%D0%B8%D1%82%D0%B0%20%D0%B3%D0%B0%D0%B7%D0%BE%D0%B2%D0%B0%D1%8F</t>
        </is>
      </c>
      <c r="E10" s="17" t="n">
        <v>24999</v>
      </c>
      <c r="F10" s="15" t="n">
        <v>10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Соковыжималка</t>
        </is>
      </c>
      <c r="C11" s="15" t="n">
        <v>1</v>
      </c>
      <c r="D11" s="16" t="inlineStr">
        <is>
          <t>https://www.dns-shop.ru/search/?q=%D1%81%D0%BE%D0%BA%D0%BE%D0%B2%D1%8B%D0%B6%D0%B8%D0%BC%D0%B0%D0%BB%D0%BA%D0%B0</t>
        </is>
      </c>
      <c r="E11" s="17" t="n">
        <v>4999</v>
      </c>
      <c r="F11" s="15" t="n">
        <v>7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Стиральная машина Bosch</t>
        </is>
      </c>
      <c r="C12" s="15" t="n">
        <v>1</v>
      </c>
      <c r="D12" s="16" t="inlineStr">
        <is>
          <t>https://www.dns-shop.ru/search/?q=%D1%81%D1%82%D0%B8%D1%80%D0%B0%D0%BB%D1%8C%D0%BD%D0%B0%D1%8F%20%D0%BC%D0%B0%D1%88%D0%B8%D0%BD%D0%B0%20Bosch</t>
        </is>
      </c>
      <c r="E12" s="17" t="n">
        <v>45000</v>
      </c>
      <c r="F12" s="15" t="n">
        <v>8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Телевизор маленький</t>
        </is>
      </c>
      <c r="C13" s="15" t="n">
        <v>1</v>
      </c>
      <c r="D13" s="16" t="inlineStr">
        <is>
          <t>https://www.dns-shop.ru/search/?q=%D1%82%D0%B5%D0%BB%D0%B5%D0%B2%D0%B8%D0%B7%D0%BE%D1%80</t>
        </is>
      </c>
      <c r="E13" s="17" t="n">
        <v>10000</v>
      </c>
      <c r="F13" s="15" t="n">
        <v>7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Тостер</t>
        </is>
      </c>
      <c r="C14" s="15" t="n">
        <v>1</v>
      </c>
      <c r="D14" s="16" t="inlineStr">
        <is>
          <t>https://www.dns-shop.ru/search/?q=%D1%82%D0%BE%D1%81%D1%82%D0%B5%D1%80</t>
        </is>
      </c>
      <c r="E14" s="17" t="n">
        <v>1999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Фильтр Барьер</t>
        </is>
      </c>
      <c r="C15" s="15" t="n">
        <v>1</v>
      </c>
      <c r="D15" s="16" t="inlineStr">
        <is>
          <t>https://barrier.ru/</t>
        </is>
      </c>
      <c r="E15" s="17" t="n">
        <v>999</v>
      </c>
      <c r="F15" s="15" t="n">
        <v>2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Холодильник</t>
        </is>
      </c>
      <c r="C16" s="15" t="n">
        <v>1</v>
      </c>
      <c r="D16" s="16" t="inlineStr">
        <is>
          <t>https://www.dns-shop.ru/search/?q=%D1%85%D0%BE%D0%BB%D0%BE%D0%B4%D0%B8%D0%BB%D1%8C%D0%BD%D0%B8%D0%BA</t>
        </is>
      </c>
      <c r="E16" s="17" t="n">
        <v>45000</v>
      </c>
      <c r="F16" s="15" t="n">
        <v>10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Чайник электрический</t>
        </is>
      </c>
      <c r="C17" s="15" t="n">
        <v>1</v>
      </c>
      <c r="D17" s="16" t="inlineStr">
        <is>
          <t>https://www.dns-shop.ru/search/?q=%D1%87%D0%B0%D0%B9%D0%BD%D0%B8%D0%BA</t>
        </is>
      </c>
      <c r="E17" s="17" t="n">
        <v>1999</v>
      </c>
      <c r="F17" s="15" t="n">
        <v>7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9">
      <c r="A19" s="10" t="inlineStr">
        <is>
          <t>Итого семья</t>
        </is>
      </c>
      <c r="B19" s="10" t="n"/>
      <c r="C19" s="10" t="n"/>
      <c r="D19" s="10" t="n"/>
      <c r="E19" s="10" t="n"/>
      <c r="F19" s="10" t="n"/>
      <c r="G19" s="11">
        <f>G5+G6+G7+G8+G9+G10+G11+G12+G13+G14+G15+G16+G17</f>
        <v/>
      </c>
      <c r="H19" s="11">
        <f>IF(G19=0,0,G19/12)</f>
        <v/>
      </c>
    </row>
    <row r="20">
      <c r="A20" s="10" t="inlineStr">
        <is>
          <t>Итого на ребёнка (÷3)</t>
        </is>
      </c>
      <c r="B20" s="10" t="n"/>
      <c r="C20" s="10" t="n"/>
      <c r="D20" s="10" t="n"/>
      <c r="E20" s="10" t="n"/>
      <c r="F20" s="10" t="n"/>
      <c r="G20" s="11">
        <f>G19/3</f>
        <v/>
      </c>
      <c r="H20" s="11">
        <f>H19/3</f>
        <v/>
      </c>
    </row>
  </sheetData>
  <mergeCells count="4">
    <mergeCell ref="A19:F19"/>
    <mergeCell ref="A20:F20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</hyperlinks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Мебель и хозяйство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Гладильная доска</t>
        </is>
      </c>
      <c r="C5" s="15" t="n">
        <v>1</v>
      </c>
      <c r="D5" s="16" t="inlineStr">
        <is>
          <t>https://leroymerlin.ru/search/?q=%D0%B3%D0%BB%D0%B0%D0%B4%D0%B8%D0%BB%D1%8C%D0%BD%D0%B0%D1%8F%20%D0%B4%D0%BE%D1%81%D0%BA%D0%B0</t>
        </is>
      </c>
      <c r="E5" s="17" t="n">
        <v>2499</v>
      </c>
      <c r="F5" s="15" t="n">
        <v>7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Кухонный гарнитур</t>
        </is>
      </c>
      <c r="C6" s="15" t="n">
        <v>1</v>
      </c>
      <c r="D6" s="16" t="inlineStr">
        <is>
          <t>https://lemanapro.ru/catalogue/kuhni/</t>
        </is>
      </c>
      <c r="E6" s="17" t="n">
        <v>80000</v>
      </c>
      <c r="F6" s="15" t="n">
        <v>10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Мусорное ведро</t>
        </is>
      </c>
      <c r="C7" s="15" t="n">
        <v>1</v>
      </c>
      <c r="D7" s="16" t="inlineStr">
        <is>
          <t>https://leroymerlin.ru/search/?q=%D0%BC%D1%83%D1%81%D0%BE%D1%80%D0%BD%D0%BE%D0%B5%20%D0%B2%D0%B5%D0%B4%D1%80%D0%BE</t>
        </is>
      </c>
      <c r="E7" s="17" t="n">
        <v>3499</v>
      </c>
      <c r="F7" s="15" t="n">
        <v>7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Отпариватель</t>
        </is>
      </c>
      <c r="C8" s="15" t="n">
        <v>1</v>
      </c>
      <c r="D8" s="16" t="inlineStr">
        <is>
          <t>https://www.dns-shop.ru/search/?q=%D0%BE%D1%82%D0%BF%D0%B0%D1%80%D0%B8%D0%B2%D0%B0%D1%82%D0%B5%D0%BB%D1%8C</t>
        </is>
      </c>
      <c r="E8" s="17" t="n">
        <v>3999</v>
      </c>
      <c r="F8" s="15" t="n">
        <v>5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Полотенце</t>
        </is>
      </c>
      <c r="C9" s="15" t="n">
        <v>2</v>
      </c>
      <c r="D9" s="16" t="inlineStr">
        <is>
          <t>https://leroymerlin.ru/search/?q=%D0%BF%D0%BE%D0%BB%D0%BE%D1%82%D0%B5%D0%BD%D1%86%D0%B5</t>
        </is>
      </c>
      <c r="E9" s="17" t="n">
        <v>399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Пылесос</t>
        </is>
      </c>
      <c r="C10" s="15" t="n">
        <v>1</v>
      </c>
      <c r="D10" s="16" t="inlineStr">
        <is>
          <t>https://www.dns-shop.ru/search/?q=%D0%BF%D1%8B%D0%BB%D0%B5%D1%81%D0%BE%D1%81</t>
        </is>
      </c>
      <c r="E10" s="17" t="n">
        <v>9999</v>
      </c>
      <c r="F10" s="15" t="n">
        <v>7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Совок и метла</t>
        </is>
      </c>
      <c r="C11" s="15" t="n">
        <v>1</v>
      </c>
      <c r="D11" s="16" t="inlineStr">
        <is>
          <t>https://leroymerlin.ru/search/?q=%D1%81%D0%BE%D0%B2%D0%BE%D0%BA%20%D0%BC%D0%B5%D1%82%D0%BB%D0%B0</t>
        </is>
      </c>
      <c r="E11" s="17" t="n">
        <v>699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Стол журнальный</t>
        </is>
      </c>
      <c r="C12" s="15" t="n">
        <v>1</v>
      </c>
      <c r="D12" s="16" t="inlineStr">
        <is>
          <t>https://leroymerlin.ru/search/?q=%D1%81%D1%82%D0%BE%D0%BB%20%D0%B6%D1%83%D1%80%D0%BD%D0%B0%D0%BB%D1%8C%D0%BD%D1%8B%D0%B9</t>
        </is>
      </c>
      <c r="E12" s="17" t="n">
        <v>4999</v>
      </c>
      <c r="F12" s="15" t="n">
        <v>10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Тумба под телевизор</t>
        </is>
      </c>
      <c r="C13" s="15" t="n">
        <v>1</v>
      </c>
      <c r="D13" s="16" t="inlineStr">
        <is>
          <t>https://leroymerlin.ru/search/?q=%D1%82%D1%83%D0%BC%D0%B1%D0%B0%20%D0%BF%D0%BE%D0%B4%20%D1%82%D0%B5%D0%BB%D0%B5%D0%B2%D0%B8%D0%B7%D0%BE%D1%80</t>
        </is>
      </c>
      <c r="E13" s="17" t="n">
        <v>7990</v>
      </c>
      <c r="F13" s="15" t="n">
        <v>10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Утюг</t>
        </is>
      </c>
      <c r="C14" s="15" t="n">
        <v>1</v>
      </c>
      <c r="D14" s="16" t="inlineStr">
        <is>
          <t>https://www.dns-shop.ru/search/?q=%D1%83%D1%82%D1%8E%D0%B3</t>
        </is>
      </c>
      <c r="E14" s="17" t="n">
        <v>2499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Шкаф бельевой угловой</t>
        </is>
      </c>
      <c r="C15" s="15" t="n">
        <v>1</v>
      </c>
      <c r="D15" s="16" t="inlineStr">
        <is>
          <t>https://leroymerlin.ru/search/?q=%D1%88%D0%BA%D0%B0%D1%84%20%D1%83%D0%B3%D0%BB%D0%BE%D0%B2%D0%BE%D0%B9</t>
        </is>
      </c>
      <c r="E15" s="17" t="n">
        <v>19990</v>
      </c>
      <c r="F15" s="15" t="n">
        <v>10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7">
      <c r="A17" s="10" t="inlineStr">
        <is>
          <t>Итого семья</t>
        </is>
      </c>
      <c r="B17" s="10" t="n"/>
      <c r="C17" s="10" t="n"/>
      <c r="D17" s="10" t="n"/>
      <c r="E17" s="10" t="n"/>
      <c r="F17" s="10" t="n"/>
      <c r="G17" s="11">
        <f>G5+G6+G7+G8+G9+G10+G11+G12+G13+G14+G15</f>
        <v/>
      </c>
      <c r="H17" s="11">
        <f>IF(G17=0,0,G17/12)</f>
        <v/>
      </c>
    </row>
    <row r="18">
      <c r="A18" s="10" t="inlineStr">
        <is>
          <t>Итого на ребёнка (÷3)</t>
        </is>
      </c>
      <c r="B18" s="10" t="n"/>
      <c r="C18" s="10" t="n"/>
      <c r="D18" s="10" t="n"/>
      <c r="E18" s="10" t="n"/>
      <c r="F18" s="10" t="n"/>
      <c r="G18" s="11">
        <f>G17/3</f>
        <v/>
      </c>
      <c r="H18" s="11">
        <f>H17/3</f>
        <v/>
      </c>
    </row>
  </sheetData>
  <mergeCells count="4">
    <mergeCell ref="A2:H2"/>
    <mergeCell ref="A18:F18"/>
    <mergeCell ref="A17:F17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</hyperlinks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Праздники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Ёлка искусственная</t>
        </is>
      </c>
      <c r="C5" s="15" t="n">
        <v>1</v>
      </c>
      <c r="D5" s="16" t="inlineStr">
        <is>
          <t>https://leroymerlin.ru/search/?q=%D0%B5%D0%BB%D0%BA%D0%B0%20%D0%B8%D1%81%D0%BA%D1%83%D1%81%D1%81%D1%82%D0%B2%D0%B5%D0%BD%D0%BD%D0%B0%D1%8F</t>
        </is>
      </c>
      <c r="E5" s="17" t="n">
        <v>25000</v>
      </c>
      <c r="F5" s="15" t="n">
        <v>10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Украшения на ёлку</t>
        </is>
      </c>
      <c r="C6" s="15" t="n">
        <v>1</v>
      </c>
      <c r="D6" s="16" t="inlineStr">
        <is>
          <t>https://leroymerlin.ru/search/?q=%D1%83%D0%BA%D1%80%D0%B0%D1%88%D0%B5%D0%BD%D0%B8%D1%8F%20%D0%BD%D0%B0%20%D0%B5%D0%BB%D0%BA%D1%83</t>
        </is>
      </c>
      <c r="E6" s="17" t="n">
        <v>15000</v>
      </c>
      <c r="F6" s="15" t="n">
        <v>10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8">
      <c r="A8" s="10" t="inlineStr">
        <is>
          <t>Итого семья</t>
        </is>
      </c>
      <c r="B8" s="10" t="n"/>
      <c r="C8" s="10" t="n"/>
      <c r="D8" s="10" t="n"/>
      <c r="E8" s="10" t="n"/>
      <c r="F8" s="10" t="n"/>
      <c r="G8" s="11">
        <f>G5+G6</f>
        <v/>
      </c>
      <c r="H8" s="11">
        <f>IF(G8=0,0,G8/12)</f>
        <v/>
      </c>
    </row>
    <row r="9">
      <c r="A9" s="10" t="inlineStr">
        <is>
          <t>Итого на ребёнка (÷3)</t>
        </is>
      </c>
      <c r="B9" s="10" t="n"/>
      <c r="C9" s="10" t="n"/>
      <c r="D9" s="10" t="n"/>
      <c r="E9" s="10" t="n"/>
      <c r="F9" s="10" t="n"/>
      <c r="G9" s="11">
        <f>G8/3</f>
        <v/>
      </c>
      <c r="H9" s="11">
        <f>H8/3</f>
        <v/>
      </c>
    </row>
  </sheetData>
  <mergeCells count="4">
    <mergeCell ref="A8:F8"/>
    <mergeCell ref="A2:H2"/>
    <mergeCell ref="A9:F9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</hyperlinks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F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Содержание жилья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Стоимость</t>
        </is>
      </c>
      <c r="D4" s="3" t="inlineStr">
        <is>
          <t>Период</t>
        </is>
      </c>
      <c r="E4" s="3" t="inlineStr">
        <is>
          <t>В год, ₽</t>
        </is>
      </c>
      <c r="F4" s="3" t="inlineStr">
        <is>
          <t>В месяц, ₽</t>
        </is>
      </c>
    </row>
    <row r="5" ht="20" customHeight="1">
      <c r="A5" s="14" t="n">
        <v>1</v>
      </c>
      <c r="B5" s="13" t="inlineStr">
        <is>
          <t>Аренда</t>
        </is>
      </c>
      <c r="C5" s="17" t="n">
        <v>15000</v>
      </c>
      <c r="D5" s="15" t="inlineStr">
        <is>
          <t>месяц</t>
        </is>
      </c>
      <c r="E5" s="8">
        <f>IF(ISNUMBER(D5),IF(D5=0,0,C5*1/D5),IF(D5="неделя",C5*1*52,IF(D5="месяц",C5*1*12,C5*1)))</f>
        <v/>
      </c>
      <c r="F5" s="8">
        <f>IF(E5=0,0,E5/12)</f>
        <v/>
      </c>
    </row>
    <row r="6" ht="20" customHeight="1">
      <c r="A6" s="14" t="n">
        <v>2</v>
      </c>
      <c r="B6" s="13" t="inlineStr">
        <is>
          <t>Вода</t>
        </is>
      </c>
      <c r="C6" s="17" t="n">
        <v>1100</v>
      </c>
      <c r="D6" s="15" t="inlineStr">
        <is>
          <t>месяц</t>
        </is>
      </c>
      <c r="E6" s="8">
        <f>IF(ISNUMBER(D6),IF(D6=0,0,C6*1/D6),IF(D6="неделя",C6*1*52,IF(D6="месяц",C6*1*12,C6*1)))</f>
        <v/>
      </c>
      <c r="F6" s="8">
        <f>IF(E6=0,0,E6/12)</f>
        <v/>
      </c>
    </row>
    <row r="7" ht="20" customHeight="1">
      <c r="A7" s="14" t="n">
        <v>3</v>
      </c>
      <c r="B7" s="13" t="inlineStr">
        <is>
          <t>Коммунальные платежи</t>
        </is>
      </c>
      <c r="C7" s="17" t="n">
        <v>5400</v>
      </c>
      <c r="D7" s="15" t="inlineStr">
        <is>
          <t>месяц</t>
        </is>
      </c>
      <c r="E7" s="8">
        <f>IF(ISNUMBER(D7),IF(D7=0,0,C7*1/D7),IF(D7="неделя",C7*1*52,IF(D7="месяц",C7*1*12,C7*1)))</f>
        <v/>
      </c>
      <c r="F7" s="8">
        <f>IF(E7=0,0,E7/12)</f>
        <v/>
      </c>
    </row>
    <row r="8" ht="20" customHeight="1">
      <c r="A8" s="14" t="n">
        <v>4</v>
      </c>
      <c r="B8" s="13" t="inlineStr">
        <is>
          <t>Интернет</t>
        </is>
      </c>
      <c r="C8" s="17" t="n">
        <v>600</v>
      </c>
      <c r="D8" s="15" t="inlineStr">
        <is>
          <t>месяц</t>
        </is>
      </c>
      <c r="E8" s="8">
        <f>IF(ISNUMBER(D8),IF(D8=0,0,C8*1/D8),IF(D8="неделя",C8*1*52,IF(D8="месяц",C8*1*12,C8*1)))</f>
        <v/>
      </c>
      <c r="F8" s="8">
        <f>IF(E8=0,0,E8/12)</f>
        <v/>
      </c>
    </row>
    <row r="10">
      <c r="A10" s="10" t="inlineStr">
        <is>
          <t>Итого семья</t>
        </is>
      </c>
      <c r="B10" s="10" t="n"/>
      <c r="C10" s="10" t="n"/>
      <c r="D10" s="10" t="n"/>
      <c r="E10" s="11">
        <f>E5+E6+E7+E8</f>
        <v/>
      </c>
      <c r="F10" s="11">
        <f>IF(E10=0,0,E10/12)</f>
        <v/>
      </c>
    </row>
    <row r="11">
      <c r="A11" s="10" t="inlineStr">
        <is>
          <t>Итого на ребёнка (÷3)</t>
        </is>
      </c>
      <c r="B11" s="10" t="n"/>
      <c r="C11" s="10" t="n"/>
      <c r="D11" s="10" t="n"/>
      <c r="E11" s="11">
        <f>E10/3</f>
        <v/>
      </c>
      <c r="F11" s="11">
        <f>F10/3</f>
        <v/>
      </c>
    </row>
  </sheetData>
  <mergeCells count="4">
    <mergeCell ref="A2:F2"/>
    <mergeCell ref="A1:F1"/>
    <mergeCell ref="A10:D10"/>
    <mergeCell ref="A11:D11"/>
  </mergeCells>
  <dataValidations count="1">
    <dataValidation sqref="D5:D8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Хобби и развлечения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Поездки в другие города</t>
        </is>
      </c>
      <c r="C5" s="15" t="n">
        <v>3</v>
      </c>
      <c r="D5" s="17" t="n">
        <v>20000</v>
      </c>
      <c r="E5" s="15" t="inlineStr">
        <is>
          <t>год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Поездки на озеро летом</t>
        </is>
      </c>
      <c r="C6" s="15" t="n">
        <v>10</v>
      </c>
      <c r="D6" s="17" t="n">
        <v>5000</v>
      </c>
      <c r="E6" s="15" t="inlineStr">
        <is>
          <t>год</t>
        </is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8">
      <c r="A8" s="10" t="inlineStr">
        <is>
          <t>Итого семья</t>
        </is>
      </c>
      <c r="B8" s="10" t="n"/>
      <c r="C8" s="10" t="n"/>
      <c r="D8" s="10" t="n"/>
      <c r="E8" s="10" t="n"/>
      <c r="F8" s="11">
        <f>F5+F6</f>
        <v/>
      </c>
      <c r="G8" s="11">
        <f>IF(F8=0,0,F8/12)</f>
        <v/>
      </c>
    </row>
    <row r="9">
      <c r="A9" s="10" t="inlineStr">
        <is>
          <t>Итого на ребёнка (÷3)</t>
        </is>
      </c>
      <c r="B9" s="10" t="n"/>
      <c r="C9" s="10" t="n"/>
      <c r="D9" s="10" t="n"/>
      <c r="E9" s="10" t="n"/>
      <c r="F9" s="11">
        <f>F8/3</f>
        <v/>
      </c>
      <c r="G9" s="11">
        <f>G8/3</f>
        <v/>
      </c>
    </row>
  </sheetData>
  <mergeCells count="4">
    <mergeCell ref="A2:G2"/>
    <mergeCell ref="A9:E9"/>
    <mergeCell ref="A1:G1"/>
    <mergeCell ref="A8:E8"/>
  </mergeCells>
  <dataValidations count="1">
    <dataValidation sqref="E5:E6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F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Транспорт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Стоимость</t>
        </is>
      </c>
      <c r="D4" s="3" t="inlineStr">
        <is>
          <t>Срок / период</t>
        </is>
      </c>
      <c r="E4" s="3" t="inlineStr">
        <is>
          <t>В год, ₽</t>
        </is>
      </c>
      <c r="F4" s="3" t="inlineStr">
        <is>
          <t>В месяц, ₽</t>
        </is>
      </c>
    </row>
    <row r="5" ht="20" customHeight="1">
      <c r="A5" s="14" t="n">
        <v>1</v>
      </c>
      <c r="B5" s="13" t="inlineStr">
        <is>
          <t>Автомобиль</t>
        </is>
      </c>
      <c r="C5" s="17" t="n">
        <v>550000</v>
      </c>
      <c r="D5" s="15" t="n">
        <v>10</v>
      </c>
      <c r="E5" s="8">
        <f>IF(ISNUMBER(D5),IF(D5=0,0,C5*1/D5),IF(D5="неделя",C5*1*52,IF(D5="месяц",C5*1*12,C5*1)))</f>
        <v/>
      </c>
      <c r="F5" s="8">
        <f>IF(E5=0,0,E5/12)</f>
        <v/>
      </c>
    </row>
    <row r="6" ht="20" customHeight="1">
      <c r="A6" s="14" t="n">
        <v>2</v>
      </c>
      <c r="B6" s="13" t="inlineStr">
        <is>
          <t>Бензин</t>
        </is>
      </c>
      <c r="C6" s="17" t="n">
        <v>9360</v>
      </c>
      <c r="D6" s="15" t="inlineStr">
        <is>
          <t>месяц</t>
        </is>
      </c>
      <c r="E6" s="8">
        <f>IF(ISNUMBER(D6),IF(D6=0,0,C6*1/D6),IF(D6="неделя",C6*1*52,IF(D6="месяц",C6*1*12,C6*1)))</f>
        <v/>
      </c>
      <c r="F6" s="8">
        <f>IF(E6=0,0,E6/12)</f>
        <v/>
      </c>
    </row>
    <row r="7" ht="20" customHeight="1">
      <c r="A7" s="14" t="n">
        <v>3</v>
      </c>
      <c r="B7" s="13" t="inlineStr">
        <is>
          <t>Колёса зимние, комплект</t>
        </is>
      </c>
      <c r="C7" s="17" t="n">
        <v>50000</v>
      </c>
      <c r="D7" s="15" t="n">
        <v>2</v>
      </c>
      <c r="E7" s="8">
        <f>IF(ISNUMBER(D7),IF(D7=0,0,C7*1/D7),IF(D7="неделя",C7*1*52,IF(D7="месяц",C7*1*12,C7*1)))</f>
        <v/>
      </c>
      <c r="F7" s="8">
        <f>IF(E7=0,0,E7/12)</f>
        <v/>
      </c>
    </row>
    <row r="8" ht="20" customHeight="1">
      <c r="A8" s="14" t="n">
        <v>4</v>
      </c>
      <c r="B8" s="13" t="inlineStr">
        <is>
          <t>Колёса летние, комплект</t>
        </is>
      </c>
      <c r="C8" s="17" t="n">
        <v>50000</v>
      </c>
      <c r="D8" s="15" t="n">
        <v>2</v>
      </c>
      <c r="E8" s="8">
        <f>IF(ISNUMBER(D8),IF(D8=0,0,C8*1/D8),IF(D8="неделя",C8*1*52,IF(D8="месяц",C8*1*12,C8*1)))</f>
        <v/>
      </c>
      <c r="F8" s="8">
        <f>IF(E8=0,0,E8/12)</f>
        <v/>
      </c>
    </row>
    <row r="9" ht="20" customHeight="1">
      <c r="A9" s="14" t="n">
        <v>5</v>
      </c>
      <c r="B9" s="13" t="inlineStr">
        <is>
          <t>Масло моторное</t>
        </is>
      </c>
      <c r="C9" s="17" t="n">
        <v>12800</v>
      </c>
      <c r="D9" s="15" t="inlineStr">
        <is>
          <t>год</t>
        </is>
      </c>
      <c r="E9" s="8">
        <f>IF(ISNUMBER(D9),IF(D9=0,0,C9*1/D9),IF(D9="неделя",C9*1*52,IF(D9="месяц",C9*1*12,C9*1)))</f>
        <v/>
      </c>
      <c r="F9" s="8">
        <f>IF(E9=0,0,E9/12)</f>
        <v/>
      </c>
    </row>
    <row r="10" ht="20" customHeight="1">
      <c r="A10" s="14" t="n">
        <v>6</v>
      </c>
      <c r="B10" s="13" t="inlineStr">
        <is>
          <t>Незамерзайка</t>
        </is>
      </c>
      <c r="C10" s="17" t="n">
        <v>250</v>
      </c>
      <c r="D10" s="15" t="inlineStr">
        <is>
          <t>месяц</t>
        </is>
      </c>
      <c r="E10" s="8">
        <f>IF(ISNUMBER(D10),IF(D10=0,0,C10*1/D10),IF(D10="неделя",C10*1*52,IF(D10="месяц",C10*1*12,C10*1)))</f>
        <v/>
      </c>
      <c r="F10" s="8">
        <f>IF(E10=0,0,E10/12)</f>
        <v/>
      </c>
    </row>
    <row r="11" ht="20" customHeight="1">
      <c r="A11" s="14" t="n">
        <v>7</v>
      </c>
      <c r="B11" s="13" t="inlineStr">
        <is>
          <t>Прочий ремонт машины</t>
        </is>
      </c>
      <c r="C11" s="17" t="n">
        <v>50000</v>
      </c>
      <c r="D11" s="15" t="n">
        <v>2</v>
      </c>
      <c r="E11" s="8">
        <f>IF(ISNUMBER(D11),IF(D11=0,0,C11*1/D11),IF(D11="неделя",C11*1*52,IF(D11="месяц",C11*1*12,C11*1)))</f>
        <v/>
      </c>
      <c r="F11" s="8">
        <f>IF(E11=0,0,E11/12)</f>
        <v/>
      </c>
    </row>
    <row r="12" ht="20" customHeight="1">
      <c r="A12" s="14" t="n">
        <v>8</v>
      </c>
      <c r="B12" s="13" t="inlineStr">
        <is>
          <t>Ремонт ходовой</t>
        </is>
      </c>
      <c r="C12" s="17" t="n">
        <v>50000</v>
      </c>
      <c r="D12" s="15" t="n">
        <v>2</v>
      </c>
      <c r="E12" s="8">
        <f>IF(ISNUMBER(D12),IF(D12=0,0,C12*1/D12),IF(D12="неделя",C12*1*52,IF(D12="месяц",C12*1*12,C12*1)))</f>
        <v/>
      </c>
      <c r="F12" s="8">
        <f>IF(E12=0,0,E12/12)</f>
        <v/>
      </c>
    </row>
    <row r="14">
      <c r="A14" s="10" t="inlineStr">
        <is>
          <t>Итого семья</t>
        </is>
      </c>
      <c r="B14" s="10" t="n"/>
      <c r="C14" s="10" t="n"/>
      <c r="D14" s="10" t="n"/>
      <c r="E14" s="11">
        <f>E5+E6+E7+E8+E9+E10+E11+E12</f>
        <v/>
      </c>
      <c r="F14" s="11">
        <f>IF(E14=0,0,E14/12)</f>
        <v/>
      </c>
    </row>
    <row r="15">
      <c r="A15" s="10" t="inlineStr">
        <is>
          <t>Итого на ребёнка (÷3)</t>
        </is>
      </c>
      <c r="B15" s="10" t="n"/>
      <c r="C15" s="10" t="n"/>
      <c r="D15" s="10" t="n"/>
      <c r="E15" s="11">
        <f>E14/3</f>
        <v/>
      </c>
      <c r="F15" s="11">
        <f>F14/3</f>
        <v/>
      </c>
    </row>
  </sheetData>
  <mergeCells count="4">
    <mergeCell ref="A2:F2"/>
    <mergeCell ref="A1:F1"/>
    <mergeCell ref="A14:D14"/>
    <mergeCell ref="A15:D15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2026-08-13T05:58:53Z</dcterms:created>
  <dcterms:modified xmlns:dcterms="http://purl.org/dc/terms/" xmlns:xsi="http://www.w3.org/2001/XMLSchema-instance" xsi:type="dcterms:W3CDTF">2026-08-13T05:58:53Z</dcterms:modified>
</cp:coreProperties>
</file>