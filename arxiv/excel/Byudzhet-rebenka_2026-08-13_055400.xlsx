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и досуг покупки" sheetId="13" state="visible" r:id="rId13"/>
    <sheet xmlns:r="http://schemas.openxmlformats.org/officeDocument/2006/relationships" name="Обязательное образование — школ" sheetId="14" state="visible" r:id="rId14"/>
    <sheet xmlns:r="http://schemas.openxmlformats.org/officeDocument/2006/relationships" name="Дополнительное образование" sheetId="15" state="visible" r:id="rId15"/>
    <sheet xmlns:r="http://schemas.openxmlformats.org/officeDocument/2006/relationships" name="Лекарства" sheetId="16" state="visible" r:id="rId16"/>
    <sheet xmlns:r="http://schemas.openxmlformats.org/officeDocument/2006/relationships" name="Медицинские услуги" sheetId="17" state="visible" r:id="rId17"/>
    <sheet xmlns:r="http://schemas.openxmlformats.org/officeDocument/2006/relationships" name="Карманные расходы" sheetId="18" state="visible" r:id="rId18"/>
    <sheet xmlns:r="http://schemas.openxmlformats.org/officeDocument/2006/relationships" name="Оборудование расходы" sheetId="19" state="visible" r:id="rId19"/>
    <sheet xmlns:r="http://schemas.openxmlformats.org/officeDocument/2006/relationships" name="Праздники расходы" sheetId="20" state="visible" r:id="rId20"/>
    <sheet xmlns:r="http://schemas.openxmlformats.org/officeDocument/2006/relationships" name="Хобби и развлечения расходы" sheetId="21" state="visible" r:id="rId21"/>
    <sheet xmlns:r="http://schemas.openxmlformats.org/officeDocument/2006/relationships" name="Бытовая косметика покупки" sheetId="22" state="visible" r:id="rId22"/>
    <sheet xmlns:r="http://schemas.openxmlformats.org/officeDocument/2006/relationships" name="Бытовая посуда покупки" sheetId="23" state="visible" r:id="rId23"/>
    <sheet xmlns:r="http://schemas.openxmlformats.org/officeDocument/2006/relationships" name="Бытовая техника покупки" sheetId="24" state="visible" r:id="rId24"/>
    <sheet xmlns:r="http://schemas.openxmlformats.org/officeDocument/2006/relationships" name="Мебель и хозяйство покупки" sheetId="25" state="visible" r:id="rId25"/>
    <sheet xmlns:r="http://schemas.openxmlformats.org/officeDocument/2006/relationships" name="Праздники покупки" sheetId="26" state="visible" r:id="rId26"/>
    <sheet xmlns:r="http://schemas.openxmlformats.org/officeDocument/2006/relationships" name="Содержание жилья расходы" sheetId="27" state="visible" r:id="rId27"/>
    <sheet xmlns:r="http://schemas.openxmlformats.org/officeDocument/2006/relationships" name="Хобби и развлечения расходы 2" sheetId="28" state="visible" r:id="rId28"/>
    <sheet xmlns:r="http://schemas.openxmlformats.org/officeDocument/2006/relationships" name="Транспорт расходы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'Сводка'!$A$5:$A$30</f>
            </numRef>
          </cat>
          <val>
            <numRef>
              <f>'Сводка'!$B$5:$B$30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1%D0%BF%D0%BE%D1%80%D1%82%D0%B8%D0%B2%D0%BD%D0%B0%D1%8F%20%D1%81%D1%83%D0%BC%D0%BA%D0%B0" TargetMode="External" Id="rId7"/><Relationship Type="http://schemas.openxmlformats.org/officeDocument/2006/relationships/hyperlink" Target="https://www.detmir.ru/search/results/?qt=%D1%88%D0%B0%D0%BF%D0%BA%D0%B0%20%D0%B7%D0%B8%D0%BC%D0%BD%D1%8F%D1%8F" TargetMode="External" Id="rId8"/><Relationship Type="http://schemas.openxmlformats.org/officeDocument/2006/relationships/hyperlink" Target="https://www.detmir.ru/search/results/?qt=%D1%88%D0%B0%D0%BF%D0%BA%D0%B0%20%D0%BE%D1%81%D0%B5%D0%BD%D0%BD%D1%8F%D1%8F" TargetMode="External" Id="rId9"/><Relationship Type="http://schemas.openxmlformats.org/officeDocument/2006/relationships/hyperlink" Target="https://www.detmir.ru/search/results/?qt=%D1%88%D0%B0%D1%80%D1%84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detmir.ru/search/results/?qt=%D1%82%D0%B0%D0%BF%D0%BE%D1%87%D0%BA%D0%B8" TargetMode="External" Id="rId6"/><Relationship Type="http://schemas.openxmlformats.org/officeDocument/2006/relationships/hyperlink" Target="https://www.detmir.ru/product/index/id/7077779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2"/><Relationship Type="http://schemas.openxmlformats.org/officeDocument/2006/relationships/hyperlink" Target="https://market.yandex.ru/search?text=%D0%B2%D0%B5%D0%BB%D0%BE%D1%81%D0%B8%D0%BF%D0%B5%D0%B4%20Stern%2024" TargetMode="External" Id="rId3"/><Relationship Type="http://schemas.openxmlformats.org/officeDocument/2006/relationships/hyperlink" Target="https://www.detmir.ru/search/results/?qt=%D0%B3%D0%B0%D0%BD%D1%82%D0%B5%D0%BB%D0%B8%20%D0%B4%D0%B5%D1%82%D1%81%D0%BA%D0%B8%D0%B5" TargetMode="External" Id="rId4"/><Relationship Type="http://schemas.openxmlformats.org/officeDocument/2006/relationships/hyperlink" Target="https://karate.ru/shop/catalog/407-perchatki-mma-sinie-kozhzamenitel-combat-sambo-green-hill/" TargetMode="External" Id="rId5"/><Relationship Type="http://schemas.openxmlformats.org/officeDocument/2006/relationships/hyperlink" Target="https://www.detmir.ru/search/results/?qt=%D0%BA%D0%BE%D0%BD%D1%8C%D0%BA%D0%B8" TargetMode="External" Id="rId6"/><Relationship Type="http://schemas.openxmlformats.org/officeDocument/2006/relationships/hyperlink" Target="https://www.detmir.ru/search/results/?qt=%D0%BB%D0%B0%D1%81%D1%82%D1%8B%20%D0%B4%D0%B5%D1%82%D1%81%D0%BA%D0%B8%D0%B5" TargetMode="External" Id="rId7"/><Relationship Type="http://schemas.openxmlformats.org/officeDocument/2006/relationships/hyperlink" Target="https://www.detmir.ru/search/results/?qt=%D0%BC%D1%8F%D1%87%20%D1%84%D1%83%D1%82%D0%B1%D0%BE%D0%BB%D1%8C%D0%BD%D1%8B%D0%B9" TargetMode="External" Id="rId8"/><Relationship Type="http://schemas.openxmlformats.org/officeDocument/2006/relationships/hyperlink" Target="https://www.detmir.ru/search/results/?qt=%D0%BD%D0%B0%D0%B4%D1%83%D0%B2%D0%BD%D0%BE%D0%B9%20%D0%BA%D1%80%D1%83%D0%B3" TargetMode="External" Id="rId9"/><Relationship Type="http://schemas.openxmlformats.org/officeDocument/2006/relationships/hyperlink" Target="https://dantesport.ru/product_info.php?products_id=1207" TargetMode="External" Id="rId10"/><Relationship Type="http://schemas.openxmlformats.org/officeDocument/2006/relationships/hyperlink" Target="https://www.detmir.ru/catalog/index/name/plavki/" TargetMode="External" Id="rId11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12"/><Relationship Type="http://schemas.openxmlformats.org/officeDocument/2006/relationships/hyperlink" Target="https://www.detmir.ru/search/results/?qt=%D1%81%D0%BA%D0%B0%D0%BA%D0%B0%D0%BB%D0%BA%D0%B0" TargetMode="External" Id="rId13"/><Relationship Type="http://schemas.openxmlformats.org/officeDocument/2006/relationships/hyperlink" Target="https://leroymerlin.ru/search/?q=%D1%81%D1%82%D1%83%D0%BB%20%D0%BA%D0%B5%D0%BC%D0%BF%D0%B8%D0%BD%D0%B3" TargetMode="External" Id="rId14"/><Relationship Type="http://schemas.openxmlformats.org/officeDocument/2006/relationships/hyperlink" Target="https://rocky-shop.ru/ekipirovka-dlya-edinoborstv/detskie-bortscovki-dlya-sambo-green-hill-triumf-odobreny-fias-27458.html" TargetMode="External" Id="rId15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catalog/index/name/neckties/" TargetMode="External" Id="rId6"/><Relationship Type="http://schemas.openxmlformats.org/officeDocument/2006/relationships/hyperlink" Target="https://www.detmir.ru/catalog/index/name/straps/pol-malchik/" TargetMode="External" Id="rId7"/><Relationship Type="http://schemas.openxmlformats.org/officeDocument/2006/relationships/hyperlink" Target="https://www.detmir.ru/product/index/id/6391235/" TargetMode="External" Id="rId8"/><Relationship Type="http://schemas.openxmlformats.org/officeDocument/2006/relationships/hyperlink" Target="https://www.detmir.ru/product/index/id/6622893/" TargetMode="External" Id="rId9"/><Relationship Type="http://schemas.openxmlformats.org/officeDocument/2006/relationships/hyperlink" Target="https://www.detmir.ru/product/index/id/6037286/" TargetMode="External" Id="rId10"/><Relationship Type="http://schemas.openxmlformats.org/officeDocument/2006/relationships/hyperlink" Target="https://www.detmir.ru/product/index/id/7069266/" TargetMode="External" Id="rId11"/><Relationship Type="http://schemas.openxmlformats.org/officeDocument/2006/relationships/hyperlink" Target="https://www.detmir.ru/search/results/?qt=%D0%B0%D0%BB%D1%8C%D0%B1%D0%BE%D0%BC" TargetMode="External" Id="rId12"/><Relationship Type="http://schemas.openxmlformats.org/officeDocument/2006/relationships/hyperlink" Target="https://www.detmir.ru/catalog/index/name/cyrkuli/tip_cherchenie-gotovalnya/" TargetMode="External" Id="rId13"/><Relationship Type="http://schemas.openxmlformats.org/officeDocument/2006/relationships/hyperlink" Target="https://www.detmir.ru/product/index/id/6430833/" TargetMode="External" Id="rId14"/><Relationship Type="http://schemas.openxmlformats.org/officeDocument/2006/relationships/hyperlink" Target="https://www.detmir.ru/product/index/id/6462321/" TargetMode="External" Id="rId15"/><Relationship Type="http://schemas.openxmlformats.org/officeDocument/2006/relationships/hyperlink" Target="https://www.detmir.ru/search/results/?qt=%D0%B4%D0%BE%D1%81%D0%BA%D0%B0%20%D0%B4%D0%BB%D1%8F%20%D0%BB%D0%B5%D0%BF%D0%BA%D0%B8" TargetMode="External" Id="rId16"/><Relationship Type="http://schemas.openxmlformats.org/officeDocument/2006/relationships/hyperlink" Target="https://www.detmir.ru/search/results/?qt=%D0%B7%D0%B0%D0%BA%D0%BB%D0%B0%D0%B4%D0%BA%D0%B8%20%D0%B4%D0%BB%D1%8F%20%D0%BA%D0%BD%D0%B8%D0%B3" TargetMode="External" Id="rId17"/><Relationship Type="http://schemas.openxmlformats.org/officeDocument/2006/relationships/hyperlink" Target="https://www.detmir.ru/search/results/?qt=%D0%BA%D0%B0%D1%80%D0%B0%D0%BD%D0%B4%D0%B0%D1%88%20HB" TargetMode="External" Id="rId18"/><Relationship Type="http://schemas.openxmlformats.org/officeDocument/2006/relationships/hyperlink" Target="https://www.detmir.ru/product/index/id/6016009/" TargetMode="External" Id="rId19"/><Relationship Type="http://schemas.openxmlformats.org/officeDocument/2006/relationships/hyperlink" Target="https://www.detmir.ru/search/results/?qt=%D0%BA%D0%B0%D1%80%D1%82%D0%BE%D0%BD%20%D1%86%D0%B2%D0%B5%D1%82%D0%BD%D0%BE%D0%B9" TargetMode="External" Id="rId20"/><Relationship Type="http://schemas.openxmlformats.org/officeDocument/2006/relationships/hyperlink" Target="https://www.detmir.ru/search/results/?qt=%D0%BA%D0%BB%D0%B5%D0%B9%20%D0%9F%D0%92%D0%90" TargetMode="External" Id="rId21"/><Relationship Type="http://schemas.openxmlformats.org/officeDocument/2006/relationships/hyperlink" Target="https://www.detmir.ru/search/results/?qt=%D0%BA%D0%BB%D0%B5%D0%B9-%D0%BA%D0%B0%D1%80%D0%B0%D0%BD%D0%B4%D0%B0%D1%88" TargetMode="External" Id="rId22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23"/><Relationship Type="http://schemas.openxmlformats.org/officeDocument/2006/relationships/hyperlink" Target="https://www.detmir.ru/search/results/?qt=%D0%BB%D0%B0%D1%81%D1%82%D0%B8%D0%BA" TargetMode="External" Id="rId24"/><Relationship Type="http://schemas.openxmlformats.org/officeDocument/2006/relationships/hyperlink" Target="https://www.detmir.ru/search/results/?qt=%D0%BB%D0%B8%D0%BD%D0%B5%D0%B9%D0%BA%D0%B0%2020" TargetMode="External" Id="rId25"/><Relationship Type="http://schemas.openxmlformats.org/officeDocument/2006/relationships/hyperlink" Target="https://www.detmir.ru/search/results/?qt=%D0%BA%D0%B8%D1%81%D1%82%D0%B8" TargetMode="External" Id="rId26"/><Relationship Type="http://schemas.openxmlformats.org/officeDocument/2006/relationships/hyperlink" Target="https://www.detmir.ru/product/index/id/6724733/" TargetMode="External" Id="rId27"/><Relationship Type="http://schemas.openxmlformats.org/officeDocument/2006/relationships/hyperlink" Target="https://www.detmir.ru/search/results/?qt=%D0%BD%D0%B5%D0%BF%D1%80%D0%BE%D0%BB%D0%B8%D0%B2%D0%B0%D0%B9%D0%BA%D0%B0" TargetMode="External" Id="rId28"/><Relationship Type="http://schemas.openxmlformats.org/officeDocument/2006/relationships/hyperlink" Target="https://www.detmir.ru/search/results/?qt=%D0%BD%D0%BE%D0%B6%D0%BD%D0%B8%D1%86%D1%8B%20%D0%B4%D0%B5%D1%82%D1%81%D0%BA%D0%B8%D0%B5" TargetMode="External" Id="rId29"/><Relationship Type="http://schemas.openxmlformats.org/officeDocument/2006/relationships/hyperlink" Target="https://www.detmir.ru/product/index/id/6442038/" TargetMode="External" Id="rId30"/><Relationship Type="http://schemas.openxmlformats.org/officeDocument/2006/relationships/hyperlink" Target="https://www.detmir.ru/catalog/index/name/cover_notebook/" TargetMode="External" Id="rId31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32"/><Relationship Type="http://schemas.openxmlformats.org/officeDocument/2006/relationships/hyperlink" Target="https://www.detmir.ru/search/results/?qt=%D0%BF%D0%B0%D0%BF%D0%BA%D0%B0%20%D0%B4%D0%BB%D1%8F%20%D1%82%D1%80%D1%83%D0%B4%D0%B0" TargetMode="External" Id="rId33"/><Relationship Type="http://schemas.openxmlformats.org/officeDocument/2006/relationships/hyperlink" Target="https://www.detmir.ru/product/index/id/6400444/" TargetMode="External" Id="rId34"/><Relationship Type="http://schemas.openxmlformats.org/officeDocument/2006/relationships/hyperlink" Target="https://www.detmir.ru/search/results/?qt=%D0%BF%D0%BB%D0%B0%D1%81%D1%82%D0%B8%D0%BB%D0%B8%D0%BD" TargetMode="External" Id="rId35"/><Relationship Type="http://schemas.openxmlformats.org/officeDocument/2006/relationships/hyperlink" Target="https://www.detmir.ru/product/index/id/6505850/" TargetMode="External" Id="rId36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37"/><Relationship Type="http://schemas.openxmlformats.org/officeDocument/2006/relationships/hyperlink" Target="https://www.detmir.ru/product/index/id/6683471/" TargetMode="External" Id="rId38"/><Relationship Type="http://schemas.openxmlformats.org/officeDocument/2006/relationships/hyperlink" Target="https://www.detmir.ru/search/results/?qt=%D1%82%D0%BE%D1%87%D0%B8%D0%BB%D0%BA%D0%B0" TargetMode="External" Id="rId39"/><Relationship Type="http://schemas.openxmlformats.org/officeDocument/2006/relationships/hyperlink" Target="https://www.detmir.ru/search/results/?qt=%D1%83%D1%87%D0%B5%D0%B1%D0%BD%D1%8B%D0%B5%20%D0%BF%D0%BE%D1%81%D0%BE%D0%B1%D0%B8%D1%8F" TargetMode="External" Id="rId40"/><Relationship Type="http://schemas.openxmlformats.org/officeDocument/2006/relationships/hyperlink" Target="https://www.detmir.ru/product/index/id/3293711/" TargetMode="External" Id="rId41"/><Relationship Type="http://schemas.openxmlformats.org/officeDocument/2006/relationships/hyperlink" Target="https://www.detmir.ru/search/results/?qt=%D1%86%D0%B2%D0%B5%D1%82%D0%BD%D0%B0%D1%8F%20%D0%B1%D1%83%D0%BC%D0%B0%D0%B3%D0%B0" TargetMode="External" Id="rId42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2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3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4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5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26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покупки'!G16</f>
        <v/>
      </c>
      <c r="C5" s="8">
        <f>'Аксессуары покупки'!H16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покупки'!G13</f>
        <v/>
      </c>
      <c r="C10" s="8">
        <f>'Обувь покупки'!H13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и досуг покупки</t>
        </is>
      </c>
      <c r="B14" s="8">
        <f>'Спорт и досуг покупки'!G21</f>
        <v/>
      </c>
      <c r="C14" s="8">
        <f>'Спорт и досуг покупки'!H21</f>
        <v/>
      </c>
    </row>
    <row r="15">
      <c r="A15" s="7" t="inlineStr">
        <is>
          <t>Обязательное образование — школ</t>
        </is>
      </c>
      <c r="B15" s="8">
        <f>'Обязательное образование — школ'!G51</f>
        <v/>
      </c>
      <c r="C15" s="8">
        <f>'Обязательное образование — школ'!H51</f>
        <v/>
      </c>
    </row>
    <row r="16">
      <c r="A16" s="9" t="inlineStr">
        <is>
          <t>Дополнительное образование</t>
        </is>
      </c>
      <c r="B16" s="8">
        <f>'Дополнительное образование'!G9</f>
        <v/>
      </c>
      <c r="C16" s="8">
        <f>'Дополнительное образование'!H9</f>
        <v/>
      </c>
    </row>
    <row r="17">
      <c r="A17" s="7" t="inlineStr">
        <is>
          <t>Лекарства</t>
        </is>
      </c>
      <c r="B17" s="8">
        <f>'Лекарства'!G14</f>
        <v/>
      </c>
      <c r="C17" s="8">
        <f>'Лекарства'!H14</f>
        <v/>
      </c>
    </row>
    <row r="18">
      <c r="A18" s="9" t="inlineStr">
        <is>
          <t>Медицинские услуги</t>
        </is>
      </c>
      <c r="B18" s="8">
        <f>'Медицинские услуги'!G7</f>
        <v/>
      </c>
      <c r="C18" s="8">
        <f>'Медицинские услуги'!H7</f>
        <v/>
      </c>
    </row>
    <row r="19">
      <c r="A19" s="7" t="inlineStr">
        <is>
          <t>Карманные расходы</t>
        </is>
      </c>
      <c r="B19" s="8">
        <f>'Карманные расходы'!F7</f>
        <v/>
      </c>
      <c r="C19" s="8">
        <f>'Карманные расходы'!G7</f>
        <v/>
      </c>
    </row>
    <row r="20">
      <c r="A20" s="9" t="inlineStr">
        <is>
          <t>Оборудование расходы</t>
        </is>
      </c>
      <c r="B20" s="8">
        <f>'Оборудование расходы'!F7</f>
        <v/>
      </c>
      <c r="C20" s="8">
        <f>'Оборудование расходы'!G7</f>
        <v/>
      </c>
    </row>
    <row r="21">
      <c r="A21" s="7" t="inlineStr">
        <is>
          <t>Праздники расходы</t>
        </is>
      </c>
      <c r="B21" s="8">
        <f>'Праздники расходы'!F14</f>
        <v/>
      </c>
      <c r="C21" s="8">
        <f>'Праздники расходы'!G14</f>
        <v/>
      </c>
    </row>
    <row r="22">
      <c r="A22" s="9" t="inlineStr">
        <is>
          <t>Хобби и развлечения расходы</t>
        </is>
      </c>
      <c r="B22" s="8">
        <f>'Хобби и развлечения расходы'!F10</f>
        <v/>
      </c>
      <c r="C22" s="8">
        <f>'Хобби и развлечения расходы'!G10</f>
        <v/>
      </c>
    </row>
    <row r="23">
      <c r="A23" s="7" t="inlineStr">
        <is>
          <t>Бытовая косметика покупки</t>
        </is>
      </c>
      <c r="B23" s="8">
        <f>'Бытовая косметика покупки'!G12</f>
        <v/>
      </c>
      <c r="C23" s="8">
        <f>'Бытовая косметика покупки'!H12</f>
        <v/>
      </c>
    </row>
    <row r="24">
      <c r="A24" s="9" t="inlineStr">
        <is>
          <t>Бытовая посуда покупки</t>
        </is>
      </c>
      <c r="B24" s="8">
        <f>'Бытовая посуда покупки'!G23</f>
        <v/>
      </c>
      <c r="C24" s="8">
        <f>'Бытовая посуда покупки'!H23</f>
        <v/>
      </c>
    </row>
    <row r="25">
      <c r="A25" s="7" t="inlineStr">
        <is>
          <t>Бытовая техника покупки</t>
        </is>
      </c>
      <c r="B25" s="8">
        <f>'Бытовая техника покупки'!G20</f>
        <v/>
      </c>
      <c r="C25" s="8">
        <f>'Бытовая техника покупки'!H20</f>
        <v/>
      </c>
    </row>
    <row r="26">
      <c r="A26" s="9" t="inlineStr">
        <is>
          <t>Мебель и хозяйство покупки</t>
        </is>
      </c>
      <c r="B26" s="8">
        <f>'Мебель и хозяйство покупки'!G18</f>
        <v/>
      </c>
      <c r="C26" s="8">
        <f>'Мебель и хозяйство покупки'!H18</f>
        <v/>
      </c>
    </row>
    <row r="27">
      <c r="A27" s="7" t="inlineStr">
        <is>
          <t>Праздники покупки</t>
        </is>
      </c>
      <c r="B27" s="8">
        <f>'Праздники покупки'!G9</f>
        <v/>
      </c>
      <c r="C27" s="8">
        <f>'Праздники покупки'!H9</f>
        <v/>
      </c>
    </row>
    <row r="28">
      <c r="A28" s="9" t="inlineStr">
        <is>
          <t>Содержание жилья расходы</t>
        </is>
      </c>
      <c r="B28" s="8">
        <f>'Содержание жилья расходы'!E11</f>
        <v/>
      </c>
      <c r="C28" s="8">
        <f>'Содержание жилья расходы'!F11</f>
        <v/>
      </c>
    </row>
    <row r="29">
      <c r="A29" s="7" t="inlineStr">
        <is>
          <t>Хобби и развлечения расходы 2</t>
        </is>
      </c>
      <c r="B29" s="8">
        <f>'Хобби и развлечения расходы 2'!F9</f>
        <v/>
      </c>
      <c r="C29" s="8">
        <f>'Хобби и развлечения расходы 2'!G9</f>
        <v/>
      </c>
    </row>
    <row r="30">
      <c r="A30" s="9" t="inlineStr">
        <is>
          <t>Транспорт расходы</t>
        </is>
      </c>
      <c r="B30" s="8">
        <f>'Транспорт расходы'!E15</f>
        <v/>
      </c>
      <c r="C30" s="8">
        <f>'Транспорт расходы'!F15</f>
        <v/>
      </c>
    </row>
    <row r="31">
      <c r="A31" s="10" t="inlineStr">
        <is>
          <t>СОДЕРЖАНИЕ РЕБЁНКА</t>
        </is>
      </c>
      <c r="B31" s="11">
        <f>SUM(B5:B30)</f>
        <v/>
      </c>
      <c r="C31" s="11">
        <f>SUM(C5:C30)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Одежда, обувь и аксессуары</t>
        </is>
      </c>
      <c r="B5" s="12" t="inlineStr">
        <is>
          <t>Бельё; Одежда второго слоя; Верхняя одежда; Обувь; Аксессуары</t>
        </is>
      </c>
    </row>
    <row r="6">
      <c r="A6" s="12" t="inlineStr">
        <is>
          <t>Комната и оборудование</t>
        </is>
      </c>
      <c r="B6" s="12" t="inlineStr">
        <is>
          <t>Комната; Оборудование</t>
        </is>
      </c>
    </row>
    <row r="7">
      <c r="A7" s="12" t="inlineStr">
        <is>
          <t>Доля в общих расходах</t>
        </is>
      </c>
      <c r="B7" s="12" t="inlineStr">
        <is>
          <t>Бытовая косметика; Бытовая посуда; Бытовая техника; Мебель и хозяйство; Праздники; Содержание жилья; Хобби и развлечения; Транспорт</t>
        </is>
      </c>
    </row>
    <row r="8">
      <c r="A8" s="12" t="inlineStr">
        <is>
          <t>Школа и образование</t>
        </is>
      </c>
      <c r="B8" s="12" t="inlineStr">
        <is>
          <t>Обязательное образование: школа; Дополнительное образование</t>
        </is>
      </c>
    </row>
    <row r="9">
      <c r="A9" s="13" t="inlineStr">
        <is>
          <t>Предметы личного пользования</t>
        </is>
      </c>
      <c r="B9" s="13" t="inlineStr">
        <is>
          <t>Предметы личного пользования</t>
        </is>
      </c>
    </row>
    <row r="10">
      <c r="A10" s="13" t="inlineStr">
        <is>
          <t>Продукты питания</t>
        </is>
      </c>
      <c r="B10" s="13" t="inlineStr">
        <is>
          <t>Продукты питания</t>
        </is>
      </c>
    </row>
    <row r="11">
      <c r="A11" s="13" t="inlineStr">
        <is>
          <t>Спорт и досуг</t>
        </is>
      </c>
      <c r="B11" s="13" t="inlineStr">
        <is>
          <t>Спорт и досуг</t>
        </is>
      </c>
    </row>
    <row r="12">
      <c r="A12" s="13" t="inlineStr">
        <is>
          <t>Лекарства</t>
        </is>
      </c>
      <c r="B12" s="13" t="inlineStr">
        <is>
          <t>Лекарства</t>
        </is>
      </c>
    </row>
    <row r="13">
      <c r="A13" s="13" t="inlineStr">
        <is>
          <t>Медицинские услуги</t>
        </is>
      </c>
      <c r="B13" s="13" t="inlineStr">
        <is>
          <t>Медицинские услуги</t>
        </is>
      </c>
    </row>
    <row r="14">
      <c r="A14" s="13" t="inlineStr">
        <is>
          <t>Карманные</t>
        </is>
      </c>
      <c r="B14" s="13" t="inlineStr">
        <is>
          <t>Карманные</t>
        </is>
      </c>
    </row>
    <row r="15">
      <c r="A15" s="13" t="inlineStr">
        <is>
          <t>Оборудование</t>
        </is>
      </c>
      <c r="B15" s="13" t="inlineStr">
        <is>
          <t>Оборудование</t>
        </is>
      </c>
    </row>
    <row r="16">
      <c r="A16" s="13" t="inlineStr">
        <is>
          <t>Праздники</t>
        </is>
      </c>
      <c r="B16" s="13" t="inlineStr">
        <is>
          <t>Праздники</t>
        </is>
      </c>
    </row>
    <row r="17">
      <c r="A17" s="13" t="inlineStr">
        <is>
          <t>Хобби и развлечения</t>
        </is>
      </c>
      <c r="B17" s="13" t="inlineStr">
        <is>
          <t>Хобби и развлечения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Сумка для самбо</t>
        </is>
      </c>
      <c r="C11" s="15" t="n">
        <v>1</v>
      </c>
      <c r="D11" s="16" t="inlineStr">
        <is>
          <t>https://www.detmir.ru/search/results/?qt=%D1%81%D0%BF%D0%BE%D1%80%D1%82%D0%B8%D0%B2%D0%BD%D0%B0%D1%8F%20%D1%81%D1%83%D0%BC%D0%BA%D0%B0</t>
        </is>
      </c>
      <c r="E11" s="17" t="n">
        <v>1499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зимняя</t>
        </is>
      </c>
      <c r="C12" s="15" t="n">
        <v>1</v>
      </c>
      <c r="D12" s="16" t="inlineStr">
        <is>
          <t>https://www.detmir.ru/search/results/?qt=%D1%88%D0%B0%D0%BF%D0%BA%D0%B0%20%D0%B7%D0%B8%D0%BC%D0%BD%D1%8F%D1%8F</t>
        </is>
      </c>
      <c r="E12" s="17" t="n">
        <v>699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Шапка осенняя</t>
        </is>
      </c>
      <c r="C13" s="15" t="n">
        <v>1</v>
      </c>
      <c r="D13" s="16" t="inlineStr">
        <is>
          <t>https://www.detmir.ru/search/results/?qt=%D1%88%D0%B0%D0%BF%D0%BA%D0%B0%20%D0%BE%D1%81%D0%B5%D0%BD%D0%BD%D1%8F%D1%8F</t>
        </is>
      </c>
      <c r="E13" s="17" t="n">
        <v>499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Шарф</t>
        </is>
      </c>
      <c r="C14" s="15" t="n">
        <v>1</v>
      </c>
      <c r="D14" s="16" t="inlineStr">
        <is>
          <t>https://www.detmir.ru/search/results/?qt=%D1%88%D0%B0%D1%80%D1%84</t>
        </is>
      </c>
      <c r="E14" s="17" t="n">
        <v>399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6">
      <c r="A16" s="10" t="inlineStr">
        <is>
          <t>Итого: Аксессуары</t>
        </is>
      </c>
      <c r="B16" s="10" t="n"/>
      <c r="C16" s="10" t="n"/>
      <c r="D16" s="10" t="n"/>
      <c r="E16" s="10" t="n"/>
      <c r="F16" s="10" t="n"/>
      <c r="G16" s="11">
        <f>G5+G6+G7+G8+G9+G10+G11+G12+G13+G14</f>
        <v/>
      </c>
      <c r="H16" s="11">
        <f>IF(G16=0,0,G16/12)</f>
        <v/>
      </c>
    </row>
  </sheetData>
  <mergeCells count="3">
    <mergeCell ref="A16:F16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n">
        <v>1</v>
      </c>
      <c r="D7" s="16" t="inlineStr">
        <is>
          <t>https://www.detmir.ru/product/index/id/7076432/</t>
        </is>
      </c>
      <c r="E7" s="17" t="n">
        <v>2499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n">
        <v>1</v>
      </c>
      <c r="D8" s="16" t="inlineStr">
        <is>
          <t>https://www.detmir.ru/catalog/index/name/shoes_for_boys/brand/4112/</t>
        </is>
      </c>
      <c r="E8" s="17" t="n">
        <v>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n">
        <v>1</v>
      </c>
      <c r="D9" s="16" t="inlineStr">
        <is>
          <t>https://www.detmir.ru/search/results/?qt=%D1%81%D0%BB%D0%B0%D0%BD%D1%86%D1%8B</t>
        </is>
      </c>
      <c r="E9" s="17" t="n">
        <v>499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Тапочки домашние</t>
        </is>
      </c>
      <c r="C10" s="15" t="n">
        <v>1</v>
      </c>
      <c r="D10" s="16" t="inlineStr">
        <is>
          <t>https://www.detmir.ru/search/results/?qt=%D1%82%D0%B0%D0%BF%D0%BE%D1%87%D0%BA%D0%B8</t>
        </is>
      </c>
      <c r="E10" s="17" t="n">
        <v>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 праздничные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3">
      <c r="A13" s="10" t="inlineStr">
        <is>
          <t>Итого: Обувь</t>
        </is>
      </c>
      <c r="B13" s="10" t="n"/>
      <c r="C13" s="10" t="n"/>
      <c r="D13" s="10" t="n"/>
      <c r="E13" s="10" t="n"/>
      <c r="F13" s="10" t="n"/>
      <c r="G13" s="11">
        <f>G5+G6+G7+G8+G9+G10+G11</f>
        <v/>
      </c>
      <c r="H13" s="11">
        <f>IF(G13=0,0,G13/12)</f>
        <v/>
      </c>
    </row>
  </sheetData>
  <mergeCells count="3">
    <mergeCell ref="A13:F13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Бустер автомобильный</t>
        </is>
      </c>
      <c r="C6" s="15" t="n">
        <v>1</v>
      </c>
      <c r="D6" s="16" t="inlineStr">
        <is>
          <t>https://www.detmir.ru/search/results/?qt=%D0%B1%D1%83%D1%81%D1%82%D0%B5%D1%80%20%D0%B0%D0%B2%D1%82%D0%BE%D0%BC%D0%BE%D0%B1%D0%B8%D0%BB%D1%8C%D0%BD%D1%8B%D0%B9</t>
        </is>
      </c>
      <c r="E6" s="17" t="n">
        <v>1999</v>
      </c>
      <c r="F6" s="15" t="n">
        <v>7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Велосипед Stern 24"</t>
        </is>
      </c>
      <c r="C7" s="15" t="n">
        <v>1</v>
      </c>
      <c r="D7" s="16" t="inlineStr">
        <is>
          <t>https://market.yandex.ru/search?text=%D0%B2%D0%B5%D0%BB%D0%BE%D1%81%D0%B8%D0%BF%D0%B5%D0%B4%20Stern%2024</t>
        </is>
      </c>
      <c r="E7" s="17" t="n">
        <v>27999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Гантель</t>
        </is>
      </c>
      <c r="C8" s="15" t="n">
        <v>2</v>
      </c>
      <c r="D8" s="16" t="inlineStr">
        <is>
          <t>https://www.detmir.ru/search/results/?qt=%D0%B3%D0%B0%D0%BD%D1%82%D0%B5%D0%BB%D0%B8%20%D0%B4%D0%B5%D1%82%D1%81%D0%BA%D0%B8%D0%B5</t>
        </is>
      </c>
      <c r="E8" s="17" t="n">
        <v>365</v>
      </c>
      <c r="F8" s="15" t="n">
        <v>3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Защита голени</t>
        </is>
      </c>
      <c r="C9" s="15" t="n">
        <v>1</v>
      </c>
      <c r="D9" s="16" t="inlineStr">
        <is>
          <t>https://karate.ru/shop/catalog/407-perchatki-mma-sinie-kozhzamenitel-combat-sambo-green-hill/</t>
        </is>
      </c>
      <c r="E9" s="17" t="n">
        <v>2190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Коньки</t>
        </is>
      </c>
      <c r="C10" s="15" t="n">
        <v>1</v>
      </c>
      <c r="D10" s="16" t="inlineStr">
        <is>
          <t>https://www.detmir.ru/search/results/?qt=%D0%BA%D0%BE%D0%BD%D1%8C%D0%BA%D0%B8</t>
        </is>
      </c>
      <c r="E10" s="17" t="n">
        <v>2999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Ласты</t>
        </is>
      </c>
      <c r="C11" s="15" t="n">
        <v>1</v>
      </c>
      <c r="D11" s="16" t="inlineStr">
        <is>
          <t>https://www.detmir.ru/search/results/?qt=%D0%BB%D0%B0%D1%81%D1%82%D1%8B%20%D0%B4%D0%B5%D1%82%D1%81%D0%BA%D0%B8%D0%B5</t>
        </is>
      </c>
      <c r="E11" s="17" t="n">
        <v>999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Мяч футбольный</t>
        </is>
      </c>
      <c r="C12" s="15" t="n">
        <v>1</v>
      </c>
      <c r="D12" s="16" t="inlineStr">
        <is>
          <t>https://www.detmir.ru/search/results/?qt=%D0%BC%D1%8F%D1%87%20%D1%84%D1%83%D1%82%D0%B1%D0%BE%D0%BB%D1%8C%D0%BD%D1%8B%D0%B9</t>
        </is>
      </c>
      <c r="E12" s="17" t="n">
        <v>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Надувной круг</t>
        </is>
      </c>
      <c r="C13" s="15" t="n">
        <v>1</v>
      </c>
      <c r="D13" s="16" t="inlineStr">
        <is>
          <t>https://www.detmir.ru/search/results/?qt=%D0%BD%D0%B0%D0%B4%D1%83%D0%B2%D0%BD%D0%BE%D0%B9%20%D0%BA%D1%80%D1%83%D0%B3</t>
        </is>
      </c>
      <c r="E13" s="17" t="n">
        <v>599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Перчатки для самбо</t>
        </is>
      </c>
      <c r="C14" s="15" t="n">
        <v>1</v>
      </c>
      <c r="D14" s="16" t="inlineStr">
        <is>
          <t>https://dantesport.ru/product_info.php?products_id=1207</t>
        </is>
      </c>
      <c r="E14" s="17" t="n">
        <v>2990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Плавки</t>
        </is>
      </c>
      <c r="C15" s="15" t="n">
        <v>1</v>
      </c>
      <c r="D15" s="16" t="inlineStr">
        <is>
          <t>https://www.detmir.ru/catalog/index/name/plavki/</t>
        </is>
      </c>
      <c r="E15" s="17" t="n">
        <v>599</v>
      </c>
      <c r="F15" s="15" t="n">
        <v>1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Полотенце для плавания</t>
        </is>
      </c>
      <c r="C16" s="15" t="n">
        <v>1</v>
      </c>
      <c r="D16" s="16" t="inlineStr">
        <is>
          <t>https://www.detmir.ru/search/results/?qt=%D0%BF%D0%BE%D0%BB%D0%BE%D1%82%D0%B5%D0%BD%D1%86%D0%B5%20%D0%BF%D0%BB%D0%B0%D0%B2%D0%B0%D0%BD%D0%B8%D0%B5</t>
        </is>
      </c>
      <c r="E16" s="17" t="n">
        <v>499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Скакалка</t>
        </is>
      </c>
      <c r="C17" s="15" t="n">
        <v>1</v>
      </c>
      <c r="D17" s="16" t="inlineStr">
        <is>
          <t>https://www.detmir.ru/search/results/?qt=%D1%81%D0%BA%D0%B0%D0%BA%D0%B0%D0%BB%D0%BA%D0%B0</t>
        </is>
      </c>
      <c r="E17" s="17" t="n">
        <v>399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Стул для кемпинга</t>
        </is>
      </c>
      <c r="C18" s="15" t="n">
        <v>1</v>
      </c>
      <c r="D18" s="16" t="inlineStr">
        <is>
          <t>https://leroymerlin.ru/search/?q=%D1%81%D1%82%D1%83%D0%BB%20%D0%BA%D0%B5%D0%BC%D0%BF%D0%B8%D0%BD%D0%B3</t>
        </is>
      </c>
      <c r="E18" s="17" t="n">
        <v>999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Шорты для самбо</t>
        </is>
      </c>
      <c r="C19" s="15" t="n">
        <v>1</v>
      </c>
      <c r="D19" s="16" t="inlineStr">
        <is>
          <t>https://rocky-shop.ru/ekipirovka-dlya-edinoborstv/detskie-bortscovki-dlya-sambo-green-hill-triumf-odobreny-fias-27458.html</t>
        </is>
      </c>
      <c r="E19" s="17" t="n">
        <v>1990</v>
      </c>
      <c r="F19" s="15" t="n">
        <v>2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1">
      <c r="A21" s="10" t="inlineStr">
        <is>
          <t>Итого: Спорт и досуг</t>
        </is>
      </c>
      <c r="B21" s="10" t="n"/>
      <c r="C21" s="10" t="n"/>
      <c r="D21" s="10" t="n"/>
      <c r="E21" s="10" t="n"/>
      <c r="F21" s="10" t="n"/>
      <c r="G21" s="11">
        <f>G5+G6+G7+G8+G9+G10+G11+G12+G13+G14+G15+G16+G17+G18+G19</f>
        <v/>
      </c>
      <c r="H21" s="11">
        <f>IF(G21=0,0,G21/12)</f>
        <v/>
      </c>
    </row>
  </sheetData>
  <mergeCells count="3">
    <mergeCell ref="A21:F2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5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Обязательное образование: школа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Галстук</t>
        </is>
      </c>
      <c r="C10" s="15" t="n">
        <v>1</v>
      </c>
      <c r="D10" s="16" t="inlineStr">
        <is>
          <t>https://www.detmir.ru/catalog/index/name/neckties/</t>
        </is>
      </c>
      <c r="E10" s="17" t="n">
        <v>299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Ремень</t>
        </is>
      </c>
      <c r="C11" s="15" t="n">
        <v>1</v>
      </c>
      <c r="D11" s="16" t="inlineStr">
        <is>
          <t>https://www.detmir.ru/catalog/index/name/straps/pol-malchik/</t>
        </is>
      </c>
      <c r="E11" s="17" t="n">
        <v>399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Рюкзак школьный</t>
        </is>
      </c>
      <c r="C12" s="15" t="n">
        <v>1</v>
      </c>
      <c r="D12" s="16" t="inlineStr">
        <is>
          <t>https://www.detmir.ru/product/index/id/6391235/</t>
        </is>
      </c>
      <c r="E12" s="17" t="n">
        <v>3499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Сумка для обуви</t>
        </is>
      </c>
      <c r="C13" s="15" t="n">
        <v>1</v>
      </c>
      <c r="D13" s="16" t="inlineStr">
        <is>
          <t>https://www.detmir.ru/product/index/id/6622893/</t>
        </is>
      </c>
      <c r="E13" s="17" t="n">
        <v>269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Сумка для формы</t>
        </is>
      </c>
      <c r="C14" s="15" t="n">
        <v>1</v>
      </c>
      <c r="D14" s="16" t="inlineStr">
        <is>
          <t>https://www.detmir.ru/product/index/id/6037286/</t>
        </is>
      </c>
      <c r="E14" s="17" t="n">
        <v>319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Спортивная форма школьная</t>
        </is>
      </c>
      <c r="C15" s="15" t="n">
        <v>1</v>
      </c>
      <c r="D15" s="16" t="inlineStr">
        <is>
          <t>https://www.detmir.ru/product/index/id/7069266/</t>
        </is>
      </c>
      <c r="E15" s="17" t="n">
        <v>1999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Альбом для рисования</t>
        </is>
      </c>
      <c r="C16" s="15" t="n">
        <v>1</v>
      </c>
      <c r="D16" s="16" t="inlineStr">
        <is>
          <t>https://www.detmir.ru/search/results/?qt=%D0%B0%D0%BB%D1%8C%D0%B1%D0%BE%D0%BC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Готовальня</t>
        </is>
      </c>
      <c r="C17" s="15" t="n">
        <v>1</v>
      </c>
      <c r="D17" s="16" t="inlineStr">
        <is>
          <t>https://www.detmir.ru/catalog/index/name/cyrkuli/tip_cherchenie-gotovalnya/</t>
        </is>
      </c>
      <c r="E17" s="17" t="n">
        <v>349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Гуашь 12 цв.</t>
        </is>
      </c>
      <c r="C18" s="15" t="n">
        <v>1</v>
      </c>
      <c r="D18" s="16" t="inlineStr">
        <is>
          <t>https://www.detmir.ru/product/index/id/6430833/</t>
        </is>
      </c>
      <c r="E18" s="17" t="n">
        <v>239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Дневник</t>
        </is>
      </c>
      <c r="C19" s="15" t="n">
        <v>1</v>
      </c>
      <c r="D19" s="16" t="inlineStr">
        <is>
          <t>https://www.detmir.ru/product/index/id/6462321/</t>
        </is>
      </c>
      <c r="E19" s="17" t="n">
        <v>329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Доска для пластилина</t>
        </is>
      </c>
      <c r="C20" s="15" t="n">
        <v>1</v>
      </c>
      <c r="D20" s="16" t="inlineStr">
        <is>
          <t>https://www.detmir.ru/search/results/?qt=%D0%B4%D0%BE%D1%81%D0%BA%D0%B0%20%D0%B4%D0%BB%D1%8F%20%D0%BB%D0%B5%D0%BF%D0%BA%D0%B8</t>
        </is>
      </c>
      <c r="E20" s="17" t="n">
        <v>49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Закладки</t>
        </is>
      </c>
      <c r="C21" s="15" t="n">
        <v>3</v>
      </c>
      <c r="D21" s="16" t="inlineStr">
        <is>
          <t>https://www.detmir.ru/search/results/?qt=%D0%B7%D0%B0%D0%BA%D0%BB%D0%B0%D0%B4%D0%BA%D0%B8%20%D0%B4%D0%BB%D1%8F%20%D0%BA%D0%BD%D0%B8%D0%B3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Карандаш простой HB</t>
        </is>
      </c>
      <c r="C22" s="15" t="n">
        <v>10</v>
      </c>
      <c r="D22" s="16" t="inlineStr">
        <is>
          <t>https://www.detmir.ru/search/results/?qt=%D0%BA%D0%B0%D1%80%D0%B0%D0%BD%D0%B4%D0%B0%D1%88%20HB</t>
        </is>
      </c>
      <c r="E22" s="17" t="n">
        <v>20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Карандаши цветные 36</t>
        </is>
      </c>
      <c r="C23" s="15" t="n">
        <v>2</v>
      </c>
      <c r="D23" s="16" t="inlineStr">
        <is>
          <t>https://www.detmir.ru/product/index/id/6016009/</t>
        </is>
      </c>
      <c r="E23" s="17" t="n">
        <v>328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Картон цветной</t>
        </is>
      </c>
      <c r="C24" s="15" t="n">
        <v>1</v>
      </c>
      <c r="D24" s="16" t="inlineStr">
        <is>
          <t>https://www.detmir.ru/search/results/?qt=%D0%BA%D0%B0%D1%80%D1%82%D0%BE%D0%BD%20%D1%86%D0%B2%D0%B5%D1%82%D0%BD%D0%BE%D0%B9</t>
        </is>
      </c>
      <c r="E24" s="17" t="n">
        <v>89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Клей ПВА</t>
        </is>
      </c>
      <c r="C25" s="15" t="n">
        <v>2</v>
      </c>
      <c r="D25" s="16" t="inlineStr">
        <is>
          <t>https://www.detmir.ru/search/results/?qt=%D0%BA%D0%BB%D0%B5%D0%B9%20%D0%9F%D0%92%D0%90</t>
        </is>
      </c>
      <c r="E25" s="17" t="n">
        <v>79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Клей-карандаш</t>
        </is>
      </c>
      <c r="C26" s="15" t="n">
        <v>2</v>
      </c>
      <c r="D26" s="16" t="inlineStr">
        <is>
          <t>https://www.detmir.ru/search/results/?qt=%D0%BA%D0%BB%D0%B5%D0%B9-%D0%BA%D0%B0%D1%80%D0%B0%D0%BD%D0%B4%D0%B0%D1%88</t>
        </is>
      </c>
      <c r="E26" s="17" t="n">
        <v>59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Корректор</t>
        </is>
      </c>
      <c r="C27" s="15" t="n">
        <v>2</v>
      </c>
      <c r="D27" s="16" t="inlineStr">
        <is>
          <t>https://www.detmir.ru/search/results/?qt=%D0%BA%D0%BE%D1%80%D1%80%D0%B5%D0%BA%D1%82%D0%BE%D1%80%20%D1%88%D0%BA%D0%BE%D0%BB%D1%8C%D0%BD%D1%8B%D0%B9</t>
        </is>
      </c>
      <c r="E27" s="17" t="n">
        <v>59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Ластик</t>
        </is>
      </c>
      <c r="C28" s="15" t="n">
        <v>3</v>
      </c>
      <c r="D28" s="16" t="inlineStr">
        <is>
          <t>https://www.detmir.ru/search/results/?qt=%D0%BB%D0%B0%D1%81%D1%82%D0%B8%D0%BA</t>
        </is>
      </c>
      <c r="E28" s="17" t="n">
        <v>39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Линейка</t>
        </is>
      </c>
      <c r="C29" s="15" t="n">
        <v>1</v>
      </c>
      <c r="D29" s="16" t="inlineStr">
        <is>
          <t>https://www.detmir.ru/search/results/?qt=%D0%BB%D0%B8%D0%BD%D0%B5%D0%B9%D0%BA%D0%B0%2020</t>
        </is>
      </c>
      <c r="E29" s="17" t="n">
        <v>39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Набор кистей</t>
        </is>
      </c>
      <c r="C30" s="15" t="n">
        <v>1</v>
      </c>
      <c r="D30" s="16" t="inlineStr">
        <is>
          <t>https://www.detmir.ru/search/results/?qt=%D0%BA%D0%B8%D1%81%D1%82%D0%B8</t>
        </is>
      </c>
      <c r="E30" s="17" t="n">
        <v>99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Набор обложек</t>
        </is>
      </c>
      <c r="C31" s="15" t="n">
        <v>2</v>
      </c>
      <c r="D31" s="16" t="inlineStr">
        <is>
          <t>https://www.detmir.ru/product/index/id/6724733/</t>
        </is>
      </c>
      <c r="E31" s="17" t="n">
        <v>179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Непроливайка</t>
        </is>
      </c>
      <c r="C32" s="15" t="n">
        <v>1</v>
      </c>
      <c r="D32" s="16" t="inlineStr">
        <is>
          <t>https://www.detmir.ru/search/results/?qt=%D0%BD%D0%B5%D0%BF%D1%80%D0%BE%D0%BB%D0%B8%D0%B2%D0%B0%D0%B9%D0%BA%D0%B0</t>
        </is>
      </c>
      <c r="E32" s="17" t="n">
        <v>79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Ножницы</t>
        </is>
      </c>
      <c r="C33" s="15" t="n">
        <v>1</v>
      </c>
      <c r="D33" s="16" t="inlineStr">
        <is>
          <t>https://www.detmir.ru/search/results/?qt=%D0%BD%D0%BE%D0%B6%D0%BD%D0%B8%D1%86%D1%8B%20%D0%B4%D0%B5%D1%82%D1%81%D0%BA%D0%B8%D0%B5</t>
        </is>
      </c>
      <c r="E33" s="17" t="n">
        <v>129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Обложка для дневника</t>
        </is>
      </c>
      <c r="C34" s="15" t="n">
        <v>1</v>
      </c>
      <c r="D34" s="16" t="inlineStr">
        <is>
          <t>https://www.detmir.ru/product/index/id/6442038/</t>
        </is>
      </c>
      <c r="E34" s="17" t="n">
        <v>49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Обложки для учебников</t>
        </is>
      </c>
      <c r="C35" s="15" t="n">
        <v>1</v>
      </c>
      <c r="D35" s="16" t="inlineStr">
        <is>
          <t>https://www.detmir.ru/catalog/index/name/cover_notebook/</t>
        </is>
      </c>
      <c r="E35" s="17" t="n">
        <v>199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Папка для тетрадей</t>
        </is>
      </c>
      <c r="C36" s="15" t="n">
        <v>1</v>
      </c>
      <c r="D36" s="16" t="inlineStr">
        <is>
          <t>https://www.detmir.ru/search/results/?qt=%D0%BF%D0%B0%D0%BF%D0%BA%D0%B0%20%D0%B4%D0%BB%D1%8F%20%D1%82%D0%B5%D1%82%D1%80%D0%B0%D0%B4%D0%B5%D0%B9</t>
        </is>
      </c>
      <c r="E36" s="17" t="n">
        <v>199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Папка для труда</t>
        </is>
      </c>
      <c r="C37" s="15" t="n">
        <v>1</v>
      </c>
      <c r="D37" s="16" t="inlineStr">
        <is>
          <t>https://www.detmir.ru/search/results/?qt=%D0%BF%D0%B0%D0%BF%D0%BA%D0%B0%20%D0%B4%D0%BB%D1%8F%20%D1%82%D1%80%D1%83%D0%B4%D0%B0</t>
        </is>
      </c>
      <c r="E37" s="17" t="n">
        <v>349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Пенал</t>
        </is>
      </c>
      <c r="C38" s="15" t="n">
        <v>1</v>
      </c>
      <c r="D38" s="16" t="inlineStr">
        <is>
          <t>https://www.detmir.ru/product/index/id/6400444/</t>
        </is>
      </c>
      <c r="E38" s="17" t="n">
        <v>479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39" ht="20" customHeight="1">
      <c r="A39" s="14" t="n">
        <v>35</v>
      </c>
      <c r="B39" s="13" t="inlineStr">
        <is>
          <t>Пластилин 12 цв.</t>
        </is>
      </c>
      <c r="C39" s="15" t="n">
        <v>1</v>
      </c>
      <c r="D39" s="16" t="inlineStr">
        <is>
          <t>https://www.detmir.ru/search/results/?qt=%D0%BF%D0%BB%D0%B0%D1%81%D1%82%D0%B8%D0%BB%D0%B8%D0%BD</t>
        </is>
      </c>
      <c r="E39" s="17" t="n">
        <v>149</v>
      </c>
      <c r="F39" s="15" t="n">
        <v>1</v>
      </c>
      <c r="G39" s="8">
        <f>IF(ISNUMBER(F39),IF(F39=0,0,E39*IF(C39=0,1,C39)/F39),IF(F39="неделя",E39*IF(C39=0,1,C39)*52,IF(F39="месяц",E39*IF(C39=0,1,C39)*12,E39*IF(C39=0,1,C39))))</f>
        <v/>
      </c>
      <c r="H39" s="8">
        <f>IF(G39=0,0,G39/12)</f>
        <v/>
      </c>
    </row>
    <row r="40" ht="20" customHeight="1">
      <c r="A40" s="14" t="n">
        <v>36</v>
      </c>
      <c r="B40" s="13" t="inlineStr">
        <is>
          <t>Ручка синяя</t>
        </is>
      </c>
      <c r="C40" s="15" t="n">
        <v>10</v>
      </c>
      <c r="D40" s="16" t="inlineStr">
        <is>
          <t>https://www.detmir.ru/product/index/id/6505850/</t>
        </is>
      </c>
      <c r="E40" s="17" t="n">
        <v>50</v>
      </c>
      <c r="F40" s="15" t="n">
        <v>1</v>
      </c>
      <c r="G40" s="8">
        <f>IF(ISNUMBER(F40),IF(F40=0,0,E40*IF(C40=0,1,C40)/F40),IF(F40="неделя",E40*IF(C40=0,1,C40)*52,IF(F40="месяц",E40*IF(C40=0,1,C40)*12,E40*IF(C40=0,1,C40))))</f>
        <v/>
      </c>
      <c r="H40" s="8">
        <f>IF(G40=0,0,G40/12)</f>
        <v/>
      </c>
    </row>
    <row r="41" ht="20" customHeight="1">
      <c r="A41" s="14" t="n">
        <v>37</v>
      </c>
      <c r="B41" s="13" t="inlineStr">
        <is>
          <t>Тетрадь в клетку 18 л., твёрдая обложка</t>
        </is>
      </c>
      <c r="C41" s="15" t="n">
        <v>20</v>
      </c>
      <c r="D41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41" s="17" t="n">
        <v>50</v>
      </c>
      <c r="F41" s="15" t="n">
        <v>1</v>
      </c>
      <c r="G41" s="8">
        <f>IF(ISNUMBER(F41),IF(F41=0,0,E41*IF(C41=0,1,C41)/F41),IF(F41="неделя",E41*IF(C41=0,1,C41)*52,IF(F41="месяц",E41*IF(C41=0,1,C41)*12,E41*IF(C41=0,1,C41))))</f>
        <v/>
      </c>
      <c r="H41" s="8">
        <f>IF(G41=0,0,G41/12)</f>
        <v/>
      </c>
    </row>
    <row r="42" ht="20" customHeight="1">
      <c r="A42" s="14" t="n">
        <v>38</v>
      </c>
      <c r="B42" s="13" t="inlineStr">
        <is>
          <t>Тетрадь в линейку 12 л.</t>
        </is>
      </c>
      <c r="C42" s="15" t="n">
        <v>20</v>
      </c>
      <c r="D42" s="16" t="inlineStr">
        <is>
          <t>https://www.detmir.ru/product/index/id/6683471/</t>
        </is>
      </c>
      <c r="E42" s="17" t="n">
        <v>13.9</v>
      </c>
      <c r="F42" s="15" t="n">
        <v>1</v>
      </c>
      <c r="G42" s="8">
        <f>IF(ISNUMBER(F42),IF(F42=0,0,E42*IF(C42=0,1,C42)/F42),IF(F42="неделя",E42*IF(C42=0,1,C42)*52,IF(F42="месяц",E42*IF(C42=0,1,C42)*12,E42*IF(C42=0,1,C42))))</f>
        <v/>
      </c>
      <c r="H42" s="8">
        <f>IF(G42=0,0,G42/12)</f>
        <v/>
      </c>
    </row>
    <row r="43" ht="20" customHeight="1">
      <c r="A43" s="14" t="n">
        <v>39</v>
      </c>
      <c r="B43" s="13" t="inlineStr">
        <is>
          <t>Точилка</t>
        </is>
      </c>
      <c r="C43" s="15" t="n">
        <v>1</v>
      </c>
      <c r="D43" s="16" t="inlineStr">
        <is>
          <t>https://www.detmir.ru/search/results/?qt=%D1%82%D0%BE%D1%87%D0%B8%D0%BB%D0%BA%D0%B0</t>
        </is>
      </c>
      <c r="E43" s="17" t="n">
        <v>79</v>
      </c>
      <c r="F43" s="15" t="n">
        <v>1</v>
      </c>
      <c r="G43" s="8">
        <f>IF(ISNUMBER(F43),IF(F43=0,0,E43*IF(C43=0,1,C43)/F43),IF(F43="неделя",E43*IF(C43=0,1,C43)*52,IF(F43="месяц",E43*IF(C43=0,1,C43)*12,E43*IF(C43=0,1,C43))))</f>
        <v/>
      </c>
      <c r="H43" s="8">
        <f>IF(G43=0,0,G43/12)</f>
        <v/>
      </c>
    </row>
    <row r="44" ht="20" customHeight="1">
      <c r="A44" s="14" t="n">
        <v>40</v>
      </c>
      <c r="B44" s="13" t="inlineStr">
        <is>
          <t>Учебные пособия</t>
        </is>
      </c>
      <c r="C44" s="15" t="n">
        <v>1</v>
      </c>
      <c r="D44" s="16" t="inlineStr">
        <is>
          <t>https://www.detmir.ru/search/results/?qt=%D1%83%D1%87%D0%B5%D0%B1%D0%BD%D1%8B%D0%B5%20%D0%BF%D0%BE%D1%81%D0%BE%D0%B1%D0%B8%D1%8F</t>
        </is>
      </c>
      <c r="E44" s="17" t="n">
        <v>2000</v>
      </c>
      <c r="F44" s="15" t="n">
        <v>1</v>
      </c>
      <c r="G44" s="8">
        <f>IF(ISNUMBER(F44),IF(F44=0,0,E44*IF(C44=0,1,C44)/F44),IF(F44="неделя",E44*IF(C44=0,1,C44)*52,IF(F44="месяц",E44*IF(C44=0,1,C44)*12,E44*IF(C44=0,1,C44))))</f>
        <v/>
      </c>
      <c r="H44" s="8">
        <f>IF(G44=0,0,G44/12)</f>
        <v/>
      </c>
    </row>
    <row r="45" ht="20" customHeight="1">
      <c r="A45" s="14" t="n">
        <v>41</v>
      </c>
      <c r="B45" s="13" t="inlineStr">
        <is>
          <t>Фломастеры 50</t>
        </is>
      </c>
      <c r="C45" s="15" t="n">
        <v>2</v>
      </c>
      <c r="D45" s="16" t="inlineStr">
        <is>
          <t>https://www.detmir.ru/product/index/id/3293711/</t>
        </is>
      </c>
      <c r="E45" s="17" t="n">
        <v>549</v>
      </c>
      <c r="F45" s="15" t="n">
        <v>1</v>
      </c>
      <c r="G45" s="8">
        <f>IF(ISNUMBER(F45),IF(F45=0,0,E45*IF(C45=0,1,C45)/F45),IF(F45="неделя",E45*IF(C45=0,1,C45)*52,IF(F45="месяц",E45*IF(C45=0,1,C45)*12,E45*IF(C45=0,1,C45))))</f>
        <v/>
      </c>
      <c r="H45" s="8">
        <f>IF(G45=0,0,G45/12)</f>
        <v/>
      </c>
    </row>
    <row r="46" ht="20" customHeight="1">
      <c r="A46" s="14" t="n">
        <v>42</v>
      </c>
      <c r="B46" s="13" t="inlineStr">
        <is>
          <t>Цветная бумага</t>
        </is>
      </c>
      <c r="C46" s="15" t="n">
        <v>1</v>
      </c>
      <c r="D46" s="16" t="inlineStr">
        <is>
          <t>https://www.detmir.ru/search/results/?qt=%D1%86%D0%B2%D0%B5%D1%82%D0%BD%D0%B0%D1%8F%20%D0%B1%D1%83%D0%BC%D0%B0%D0%B3%D0%B0</t>
        </is>
      </c>
      <c r="E46" s="17" t="n">
        <v>69</v>
      </c>
      <c r="F46" s="15" t="n">
        <v>1</v>
      </c>
      <c r="G46" s="8">
        <f>IF(ISNUMBER(F46),IF(F46=0,0,E46*IF(C46=0,1,C46)/F46),IF(F46="неделя",E46*IF(C46=0,1,C46)*52,IF(F46="месяц",E46*IF(C46=0,1,C46)*12,E46*IF(C46=0,1,C46))))</f>
        <v/>
      </c>
      <c r="H46" s="8">
        <f>IF(G46=0,0,G46/12)</f>
        <v/>
      </c>
    </row>
    <row r="47" ht="20" customHeight="1">
      <c r="A47" s="14" t="n">
        <v>43</v>
      </c>
      <c r="B47" s="13" t="inlineStr">
        <is>
          <t>Питание в школе</t>
        </is>
      </c>
      <c r="C47" s="15" t="n">
        <v>170</v>
      </c>
      <c r="D47" s="12" t="inlineStr"/>
      <c r="E47" s="17" t="n">
        <v>100</v>
      </c>
      <c r="F47" s="15" t="n">
        <v>1</v>
      </c>
      <c r="G47" s="8">
        <f>IF(ISNUMBER(F47),IF(F47=0,0,E47*IF(C47=0,1,C47)/F47),IF(F47="неделя",E47*IF(C47=0,1,C47)*52,IF(F47="месяц",E47*IF(C47=0,1,C47)*12,E47*IF(C47=0,1,C47))))</f>
        <v/>
      </c>
      <c r="H47" s="8">
        <f>IF(G47=0,0,G47/12)</f>
        <v/>
      </c>
    </row>
    <row r="48" ht="20" customHeight="1">
      <c r="A48" s="14" t="n">
        <v>44</v>
      </c>
      <c r="B48" s="13" t="inlineStr">
        <is>
          <t>Платный курс (школа)</t>
        </is>
      </c>
      <c r="C48" s="15" t="n">
        <v>12</v>
      </c>
      <c r="D48" s="12" t="inlineStr"/>
      <c r="E48" s="17" t="n">
        <v>300</v>
      </c>
      <c r="F48" s="15" t="n">
        <v>1</v>
      </c>
      <c r="G48" s="8">
        <f>IF(ISNUMBER(F48),IF(F48=0,0,E48*IF(C48=0,1,C48)/F48),IF(F48="неделя",E48*IF(C48=0,1,C48)*52,IF(F48="месяц",E48*IF(C48=0,1,C48)*12,E48*IF(C48=0,1,C48))))</f>
        <v/>
      </c>
      <c r="H48" s="8">
        <f>IF(G48=0,0,G48/12)</f>
        <v/>
      </c>
    </row>
    <row r="49" ht="20" customHeight="1">
      <c r="A49" s="14" t="n">
        <v>45</v>
      </c>
      <c r="B49" s="13" t="inlineStr">
        <is>
          <t>Взносы в школу</t>
        </is>
      </c>
      <c r="C49" s="15" t="n">
        <v>1</v>
      </c>
      <c r="D49" s="12" t="inlineStr"/>
      <c r="E49" s="17" t="n">
        <v>3000</v>
      </c>
      <c r="F49" s="15" t="n">
        <v>1</v>
      </c>
      <c r="G49" s="8">
        <f>IF(ISNUMBER(F49),IF(F49=0,0,E49*IF(C49=0,1,C49)/F49),IF(F49="неделя",E49*IF(C49=0,1,C49)*52,IF(F49="месяц",E49*IF(C49=0,1,C49)*12,E49*IF(C49=0,1,C49))))</f>
        <v/>
      </c>
      <c r="H49" s="8">
        <f>IF(G49=0,0,G49/12)</f>
        <v/>
      </c>
    </row>
    <row r="51">
      <c r="A51" s="10" t="inlineStr">
        <is>
          <t>Итого: Обязательное образование: школа</t>
        </is>
      </c>
      <c r="B51" s="10" t="n"/>
      <c r="C51" s="10" t="n"/>
      <c r="D51" s="10" t="n"/>
      <c r="E51" s="10" t="n"/>
      <c r="F51" s="10" t="n"/>
      <c r="G51" s="11">
        <f>G5+G6+G7+G8+G9+G10+G11+G12+G13+G14+G15+G16+G17+G18+G19+G20+G21+G22+G23+G24+G25+G26+G27+G28+G29+G30+G31+G32+G33+G34+G35+G36+G37+G38+G39+G40+G41+G42+G43+G44+G45+G46+G47+G48+G49</f>
        <v/>
      </c>
      <c r="H51" s="11">
        <f>IF(G51=0,0,G51/12)</f>
        <v/>
      </c>
    </row>
  </sheetData>
  <mergeCells count="3">
    <mergeCell ref="A51:F5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n">
        <v>12</v>
      </c>
      <c r="D5" s="12" t="inlineStr"/>
      <c r="E5" s="17" t="n">
        <v>3440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Абонемент Олимпия Спорт</t>
        </is>
      </c>
      <c r="C6" s="15" t="n">
        <v>1</v>
      </c>
      <c r="D6" s="12" t="inlineStr"/>
      <c r="E6" s="17" t="n">
        <v>36000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Секция самбо</t>
        </is>
      </c>
      <c r="C7" s="15" t="n">
        <v>1</v>
      </c>
      <c r="D7" s="12" t="inlineStr"/>
      <c r="E7" s="17" t="n">
        <v>4000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9">
      <c r="A9" s="10" t="inlineStr">
        <is>
          <t>Итого: Дополнительное образование</t>
        </is>
      </c>
      <c r="B9" s="10" t="n"/>
      <c r="C9" s="10" t="n"/>
      <c r="D9" s="10" t="n"/>
      <c r="E9" s="10" t="n"/>
      <c r="F9" s="10" t="n"/>
      <c r="G9" s="11">
        <f>G5+G6+G7</f>
        <v/>
      </c>
      <c r="H9" s="11">
        <f>IF(G9=0,0,G9/12)</f>
        <v/>
      </c>
    </row>
  </sheetData>
  <mergeCells count="3">
    <mergeCell ref="A2:H2"/>
    <mergeCell ref="A9:F9"/>
    <mergeCell ref="A1:H1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Оборудование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День рождения: подарок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День рождения: стол</t>
        </is>
      </c>
      <c r="C8" s="15" t="n">
        <v>1</v>
      </c>
      <c r="D8" s="17" t="n">
        <v>5000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Новый год: подарок ребёнку</t>
        </is>
      </c>
      <c r="C9" s="15" t="n">
        <v>1</v>
      </c>
      <c r="D9" s="17" t="n">
        <v>5000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0" ht="20" customHeight="1">
      <c r="A10" s="14" t="n">
        <v>6</v>
      </c>
      <c r="B10" s="13" t="inlineStr">
        <is>
          <t>Подарок на 23 февраля</t>
        </is>
      </c>
      <c r="C10" s="15" t="n">
        <v>1</v>
      </c>
      <c r="D10" s="17" t="n">
        <v>2000</v>
      </c>
      <c r="E10" s="15" t="n">
        <v>1</v>
      </c>
      <c r="F10" s="8">
        <f>IF(ISNUMBER(E10),IF(E10=0,0,D10*IF(C10=0,1,C10)/E10),IF(E10="неделя",D10*IF(C10=0,1,C10)*52,IF(E10="месяц",D10*IF(C10=0,1,C10)*12,D10*IF(C10=0,1,C10))))</f>
        <v/>
      </c>
      <c r="G10" s="8">
        <f>IF(F10=0,0,F10/12)</f>
        <v/>
      </c>
    </row>
    <row r="11" ht="20" customHeight="1">
      <c r="A11" s="14" t="n">
        <v>7</v>
      </c>
      <c r="B11" s="13" t="inlineStr">
        <is>
          <t>Поездки и мероприятия школы</t>
        </is>
      </c>
      <c r="C11" s="15" t="n">
        <v>12</v>
      </c>
      <c r="D11" s="17" t="n">
        <v>500</v>
      </c>
      <c r="E11" s="15" t="n">
        <v>1</v>
      </c>
      <c r="F11" s="8">
        <f>IF(ISNUMBER(E11),IF(E11=0,0,D11*IF(C11=0,1,C11)/E11),IF(E11="неделя",D11*IF(C11=0,1,C11)*52,IF(E11="месяц",D11*IF(C11=0,1,C11)*12,D11*IF(C11=0,1,C11))))</f>
        <v/>
      </c>
      <c r="G11" s="8">
        <f>IF(F11=0,0,F11/12)</f>
        <v/>
      </c>
    </row>
    <row r="12" ht="20" customHeight="1">
      <c r="A12" s="14" t="n">
        <v>8</v>
      </c>
      <c r="B12" s="13" t="inlineStr">
        <is>
          <t>Хотелочки</t>
        </is>
      </c>
      <c r="C12" s="15" t="n">
        <v>12</v>
      </c>
      <c r="D12" s="17" t="n">
        <v>2000</v>
      </c>
      <c r="E12" s="15" t="n">
        <v>1</v>
      </c>
      <c r="F12" s="8">
        <f>IF(ISNUMBER(E12),IF(E12=0,0,D12*IF(C12=0,1,C12)/E12),IF(E12="неделя",D12*IF(C12=0,1,C12)*52,IF(E12="месяц",D12*IF(C12=0,1,C12)*12,D12*IF(C12=0,1,C12))))</f>
        <v/>
      </c>
      <c r="G12" s="8">
        <f>IF(F12=0,0,F12/12)</f>
        <v/>
      </c>
    </row>
    <row r="14">
      <c r="A14" s="10" t="inlineStr">
        <is>
          <t>Итого: Праздники</t>
        </is>
      </c>
      <c r="B14" s="10" t="n"/>
      <c r="C14" s="10" t="n"/>
      <c r="D14" s="10" t="n"/>
      <c r="E14" s="10" t="n"/>
      <c r="F14" s="11">
        <f>F5+F6+F7+F8+F9+F10+F11+F12</f>
        <v/>
      </c>
      <c r="G14" s="11">
        <f>IF(F14=0,0,F14/12)</f>
        <v/>
      </c>
    </row>
  </sheetData>
  <mergeCells count="3">
    <mergeCell ref="A2:G2"/>
    <mergeCell ref="A1:G1"/>
    <mergeCell ref="A14:E14"/>
  </mergeCell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Бургер Кинг / кафе</t>
        </is>
      </c>
      <c r="C5" s="15" t="n">
        <v>1</v>
      </c>
      <c r="D5" s="17" t="n">
        <v>1100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Зоопарк</t>
        </is>
      </c>
      <c r="C6" s="15" t="n">
        <v>1</v>
      </c>
      <c r="D6" s="17" t="n">
        <v>375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Кино</t>
        </is>
      </c>
      <c r="C7" s="15" t="n">
        <v>1</v>
      </c>
      <c r="D7" s="17" t="n">
        <v>570</v>
      </c>
      <c r="E7" s="15" t="inlineStr">
        <is>
          <t>месяц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Поход в цирк</t>
        </is>
      </c>
      <c r="C8" s="15" t="n">
        <v>1</v>
      </c>
      <c r="D8" s="17" t="n">
        <v>2250</v>
      </c>
      <c r="E8" s="15" t="inlineStr">
        <is>
          <t>год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10">
      <c r="A10" s="10" t="inlineStr">
        <is>
          <t>Итого: Хобби и развлечения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</sheetData>
  <mergeCells count="3">
    <mergeCell ref="A2:G2"/>
    <mergeCell ref="A1:G1"/>
    <mergeCell ref="A10:E10"/>
  </mergeCells>
  <dataValidations count="1">
    <dataValidation sqref="E5:E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Содержание жилья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2026-08-13T05:49:28Z</dcterms:created>
  <dcterms:modified xmlns:dcterms="http://purl.org/dc/terms/" xmlns:xsi="http://www.w3.org/2001/XMLSchema-instance" xsi:type="dcterms:W3CDTF">2026-08-13T05:49:28Z</dcterms:modified>
</cp:coreProperties>
</file>