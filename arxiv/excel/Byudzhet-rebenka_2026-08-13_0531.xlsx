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В школу" sheetId="4" state="visible" r:id="rId4"/>
    <sheet xmlns:r="http://schemas.openxmlformats.org/officeDocument/2006/relationships" name="Аксессуары покупки" sheetId="5" state="visible" r:id="rId5"/>
    <sheet xmlns:r="http://schemas.openxmlformats.org/officeDocument/2006/relationships" name="Бельё покупки" sheetId="6" state="visible" r:id="rId6"/>
    <sheet xmlns:r="http://schemas.openxmlformats.org/officeDocument/2006/relationships" name="Верхняя одежда покупки" sheetId="7" state="visible" r:id="rId7"/>
    <sheet xmlns:r="http://schemas.openxmlformats.org/officeDocument/2006/relationships" name="Комната покупки" sheetId="8" state="visible" r:id="rId8"/>
    <sheet xmlns:r="http://schemas.openxmlformats.org/officeDocument/2006/relationships" name="Оборудование покупки" sheetId="9" state="visible" r:id="rId9"/>
    <sheet xmlns:r="http://schemas.openxmlformats.org/officeDocument/2006/relationships" name="Обувь покупки" sheetId="10" state="visible" r:id="rId10"/>
    <sheet xmlns:r="http://schemas.openxmlformats.org/officeDocument/2006/relationships" name="Одежда второго слоя покупки" sheetId="11" state="visible" r:id="rId11"/>
    <sheet xmlns:r="http://schemas.openxmlformats.org/officeDocument/2006/relationships" name="Предметы личного пользования по" sheetId="12" state="visible" r:id="rId12"/>
    <sheet xmlns:r="http://schemas.openxmlformats.org/officeDocument/2006/relationships" name="Продукты питания покупки" sheetId="13" state="visible" r:id="rId13"/>
    <sheet xmlns:r="http://schemas.openxmlformats.org/officeDocument/2006/relationships" name="Спорт и досуг покупки" sheetId="14" state="visible" r:id="rId14"/>
    <sheet xmlns:r="http://schemas.openxmlformats.org/officeDocument/2006/relationships" name="Школьные принадлежности покупки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Образование расходы" sheetId="20" state="visible" r:id="rId20"/>
    <sheet xmlns:r="http://schemas.openxmlformats.org/officeDocument/2006/relationships" name="Праздники расходы" sheetId="21" state="visible" r:id="rId21"/>
    <sheet xmlns:r="http://schemas.openxmlformats.org/officeDocument/2006/relationships" name="Хобби и развлечения расходы" sheetId="22" state="visible" r:id="rId22"/>
    <sheet xmlns:r="http://schemas.openxmlformats.org/officeDocument/2006/relationships" name="Бытовая косметика покупки" sheetId="23" state="visible" r:id="rId23"/>
    <sheet xmlns:r="http://schemas.openxmlformats.org/officeDocument/2006/relationships" name="Бытовая посуда покупки" sheetId="24" state="visible" r:id="rId24"/>
    <sheet xmlns:r="http://schemas.openxmlformats.org/officeDocument/2006/relationships" name="Бытовая техника покупки" sheetId="25" state="visible" r:id="rId25"/>
    <sheet xmlns:r="http://schemas.openxmlformats.org/officeDocument/2006/relationships" name="Мебель и хозяйство покупки" sheetId="26" state="visible" r:id="rId26"/>
    <sheet xmlns:r="http://schemas.openxmlformats.org/officeDocument/2006/relationships" name="Праздники покупки" sheetId="27" state="visible" r:id="rId27"/>
    <sheet xmlns:r="http://schemas.openxmlformats.org/officeDocument/2006/relationships" name="Аренда и коммунальные платежи р" sheetId="28" state="visible" r:id="rId28"/>
    <sheet xmlns:r="http://schemas.openxmlformats.org/officeDocument/2006/relationships" name="Хобби и развлечения расходы 2" sheetId="29" state="visible" r:id="rId29"/>
    <sheet xmlns:r="http://schemas.openxmlformats.org/officeDocument/2006/relationships" name="Транспорт расходы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catalog/index/name/neckties/" TargetMode="External" Id="rId2"/><Relationship Type="http://schemas.openxmlformats.org/officeDocument/2006/relationships/hyperlink" Target="https://www.detmir.ru/search/results/?qt=%D0%B4%D0%BE%D0%B6%D0%B4%D0%B5%D0%B2%D0%B8%D0%BA%20%D0%B4%D0%B5%D1%82%D1%81%D0%BA%D0%B8%D0%B9" TargetMode="External" Id="rId3"/><Relationship Type="http://schemas.openxmlformats.org/officeDocument/2006/relationships/hyperlink" Target="https://www.detmir.ru/search/results/?qt=%D0%BF%D0%B5%D1%80%D1%87%D0%B0%D1%82%D0%BA%D0%B8%20%D0%B7%D0%B8%D0%BC%D0%BD%D0%B8%D0%B5" TargetMode="External" Id="rId4"/><Relationship Type="http://schemas.openxmlformats.org/officeDocument/2006/relationships/hyperlink" Target="https://www.detmir.ru/search/results/?qt=%D0%BF%D0%B5%D1%80%D1%87%D0%B0%D1%82%D0%BA%D0%B8" TargetMode="External" Id="rId5"/><Relationship Type="http://schemas.openxmlformats.org/officeDocument/2006/relationships/hyperlink" Target="https://www.detmir.ru/catalog/index/name/straps/pol-malchik/" TargetMode="External" Id="rId6"/><Relationship Type="http://schemas.openxmlformats.org/officeDocument/2006/relationships/hyperlink" Target="https://www.detmir.ru/product/index/id/6391235/" TargetMode="External" Id="rId7"/><Relationship Type="http://schemas.openxmlformats.org/officeDocument/2006/relationships/hyperlink" Target="https://www.detmir.ru/search/results/?qt=PlayToday%20%D0%BE%D1%87%D0%BA%D0%B8" TargetMode="External" Id="rId8"/><Relationship Type="http://schemas.openxmlformats.org/officeDocument/2006/relationships/hyperlink" Target="https://www.detmir.ru/search/results/?qt=%D1%81%D1%83%D0%BC%D0%BA%D0%B0%20%D0%B4%D0%BB%D1%8F%20%D0%BA%D0%BE%D0%BD%D1%8C%D0%BA%D0%BE%D0%B2" TargetMode="External" Id="rId9"/><Relationship Type="http://schemas.openxmlformats.org/officeDocument/2006/relationships/hyperlink" Target="https://www.detmir.ru/product/index/id/6622893/" TargetMode="External" Id="rId10"/><Relationship Type="http://schemas.openxmlformats.org/officeDocument/2006/relationships/hyperlink" Target="https://www.detmir.ru/search/results/?qt=%D1%81%D0%BF%D0%BE%D1%80%D1%82%D0%B8%D0%B2%D0%BD%D0%B0%D1%8F%20%D1%81%D1%83%D0%BC%D0%BA%D0%B0" TargetMode="External" Id="rId11"/><Relationship Type="http://schemas.openxmlformats.org/officeDocument/2006/relationships/hyperlink" Target="https://www.detmir.ru/product/index/id/6037286/" TargetMode="External" Id="rId12"/><Relationship Type="http://schemas.openxmlformats.org/officeDocument/2006/relationships/hyperlink" Target="https://www.detmir.ru/search/results/?qt=%D1%88%D0%B0%D0%BF%D0%BA%D0%B0%20%D0%B7%D0%B8%D0%BC%D0%BD%D1%8F%D1%8F" TargetMode="External" Id="rId13"/><Relationship Type="http://schemas.openxmlformats.org/officeDocument/2006/relationships/hyperlink" Target="https://www.detmir.ru/search/results/?qt=%D1%88%D0%B0%D0%BF%D0%BA%D0%B0%20%D0%BE%D1%81%D0%B5%D0%BD%D0%BD%D1%8F%D1%8F" TargetMode="External" Id="rId14"/><Relationship Type="http://schemas.openxmlformats.org/officeDocument/2006/relationships/hyperlink" Target="https://www.detmir.ru/search/results/?qt=%D1%88%D0%B0%D1%80%D1%84" TargetMode="External" Id="rId1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sportmaster.ru/catalog/deti/obuv/krossovki_kedy/" TargetMode="External" Id="rId6"/><Relationship Type="http://schemas.openxmlformats.org/officeDocument/2006/relationships/hyperlink" Target="https://www.detmir.ru/search/results/?qt=%D1%82%D0%B0%D0%BF%D0%BE%D1%87%D0%BA%D0%B8" TargetMode="External" Id="rId7"/><Relationship Type="http://schemas.openxmlformats.org/officeDocument/2006/relationships/hyperlink" Target="https://www.detmir.ru/product/index/id/7077779/" TargetMode="External" Id="rId8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wildberries.ru/catalog/13454614/detail.aspx" TargetMode="External" Id="rId2"/><Relationship Type="http://schemas.openxmlformats.org/officeDocument/2006/relationships/hyperlink" Target="https://www.detmir.ru/product/index/id/7065088/" TargetMode="External" Id="rId3"/><Relationship Type="http://schemas.openxmlformats.org/officeDocument/2006/relationships/hyperlink" Target="https://www.detmir.ru/catalog/index/name/detskaya_odezhda/brand/4112/" TargetMode="External" Id="rId4"/><Relationship Type="http://schemas.openxmlformats.org/officeDocument/2006/relationships/hyperlink" Target="https://www.detmir.ru/search/results/?qt=%D0%B4%D0%BE%D0%BC%D0%B0%D1%88%D0%BD%D0%B8%D0%B9%20%D0%BA%D0%BE%D1%81%D1%82%D1%8E%D0%BC" TargetMode="External" Id="rId5"/><Relationship Type="http://schemas.openxmlformats.org/officeDocument/2006/relationships/hyperlink" Target="https://www.detmir.ru/product/index/id/7065103/" TargetMode="External" Id="rId6"/><Relationship Type="http://schemas.openxmlformats.org/officeDocument/2006/relationships/hyperlink" Target="https://www.detmir.ru/product/index/id/6643629/" TargetMode="External" Id="rId7"/><Relationship Type="http://schemas.openxmlformats.org/officeDocument/2006/relationships/hyperlink" Target="https://orby.ru/c/shkolnaya-forma-dlya-malchikov/" TargetMode="External" Id="rId8"/><Relationship Type="http://schemas.openxmlformats.org/officeDocument/2006/relationships/hyperlink" Target="https://orby.ru/c/shkolnaya-forma-dlya-malchikov/" TargetMode="External" Id="rId9"/><Relationship Type="http://schemas.openxmlformats.org/officeDocument/2006/relationships/hyperlink" Target="https://www.detmir.ru/search/results/?qt=%D1%81%D0%B2%D0%B8%D1%82%D0%B5%D1%80" TargetMode="External" Id="rId10"/><Relationship Type="http://schemas.openxmlformats.org/officeDocument/2006/relationships/hyperlink" Target="https://www.wildberries.ru/brands/playtoday" TargetMode="External" Id="rId11"/><Relationship Type="http://schemas.openxmlformats.org/officeDocument/2006/relationships/hyperlink" Target="https://www.wildberries.ru/brands/playtoday" TargetMode="External" Id="rId12"/><Relationship Type="http://schemas.openxmlformats.org/officeDocument/2006/relationships/hyperlink" Target="https://www.wildberries.ru/brands/playtoday" TargetMode="External" Id="rId1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3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www.detmir.ru/product/index/id/7069266/" TargetMode="External" Id="rId14"/><Relationship Type="http://schemas.openxmlformats.org/officeDocument/2006/relationships/hyperlink" Target="https://leroymerlin.ru/search/?q=%D1%81%D1%82%D1%83%D0%BB%20%D0%BA%D0%B5%D0%BC%D0%BF%D0%B8%D0%BD%D0%B3" TargetMode="External" Id="rId15"/><Relationship Type="http://schemas.openxmlformats.org/officeDocument/2006/relationships/hyperlink" Target="https://rocky-shop.ru/ekipirovka-dlya-edinoborstv/detskie-bortscovki-dlya-sambo-green-hill-triumf-odobreny-fias-27458.html" TargetMode="External" Id="rId16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search/results/?qt=%D0%B0%D0%BB%D1%8C%D0%B1%D0%BE%D0%BC" TargetMode="External" Id="rId1"/><Relationship Type="http://schemas.openxmlformats.org/officeDocument/2006/relationships/hyperlink" Target="https://www.detmir.ru/catalog/index/name/cyrkuli/tip_cherchenie-gotovalnya/" TargetMode="External" Id="rId2"/><Relationship Type="http://schemas.openxmlformats.org/officeDocument/2006/relationships/hyperlink" Target="https://www.detmir.ru/product/index/id/6430833/" TargetMode="External" Id="rId3"/><Relationship Type="http://schemas.openxmlformats.org/officeDocument/2006/relationships/hyperlink" Target="https://www.detmir.ru/product/index/id/6462321/" TargetMode="External" Id="rId4"/><Relationship Type="http://schemas.openxmlformats.org/officeDocument/2006/relationships/hyperlink" Target="https://www.detmir.ru/search/results/?qt=%D0%B4%D0%BE%D1%81%D0%BA%D0%B0%20%D0%B4%D0%BB%D1%8F%20%D0%BB%D0%B5%D0%BF%D0%BA%D0%B8" TargetMode="External" Id="rId5"/><Relationship Type="http://schemas.openxmlformats.org/officeDocument/2006/relationships/hyperlink" Target="https://www.detmir.ru/search/results/?qt=%D0%B7%D0%B0%D0%BA%D0%BB%D0%B0%D0%B4%D0%BA%D0%B8%20%D0%B4%D0%BB%D1%8F%20%D0%BA%D0%BD%D0%B8%D0%B3" TargetMode="External" Id="rId6"/><Relationship Type="http://schemas.openxmlformats.org/officeDocument/2006/relationships/hyperlink" Target="https://www.detmir.ru/search/results/?qt=%D0%BA%D0%B0%D1%80%D0%B0%D0%BD%D0%B4%D0%B0%D1%88%20HB" TargetMode="External" Id="rId7"/><Relationship Type="http://schemas.openxmlformats.org/officeDocument/2006/relationships/hyperlink" Target="https://www.detmir.ru/product/index/id/6016009/" TargetMode="External" Id="rId8"/><Relationship Type="http://schemas.openxmlformats.org/officeDocument/2006/relationships/hyperlink" Target="https://www.detmir.ru/search/results/?qt=%D0%BA%D0%B0%D1%80%D1%82%D0%BE%D0%BD%20%D1%86%D0%B2%D0%B5%D1%82%D0%BD%D0%BE%D0%B9" TargetMode="External" Id="rId9"/><Relationship Type="http://schemas.openxmlformats.org/officeDocument/2006/relationships/hyperlink" Target="https://www.detmir.ru/search/results/?qt=%D0%BA%D0%BB%D0%B5%D0%B9%20%D0%9F%D0%92%D0%90" TargetMode="External" Id="rId10"/><Relationship Type="http://schemas.openxmlformats.org/officeDocument/2006/relationships/hyperlink" Target="https://www.detmir.ru/search/results/?qt=%D0%BA%D0%BB%D0%B5%D0%B9-%D0%BA%D0%B0%D1%80%D0%B0%D0%BD%D0%B4%D0%B0%D1%88" TargetMode="External" Id="rId11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2"/><Relationship Type="http://schemas.openxmlformats.org/officeDocument/2006/relationships/hyperlink" Target="https://www.detmir.ru/search/results/?qt=%D0%BB%D0%B0%D1%81%D1%82%D0%B8%D0%BA" TargetMode="External" Id="rId13"/><Relationship Type="http://schemas.openxmlformats.org/officeDocument/2006/relationships/hyperlink" Target="https://www.detmir.ru/search/results/?qt=%D0%BB%D0%B8%D0%BD%D0%B5%D0%B9%D0%BA%D0%B0%2020" TargetMode="External" Id="rId14"/><Relationship Type="http://schemas.openxmlformats.org/officeDocument/2006/relationships/hyperlink" Target="https://www.detmir.ru/search/results/?qt=%D0%BA%D0%B8%D1%81%D1%82%D0%B8" TargetMode="External" Id="rId15"/><Relationship Type="http://schemas.openxmlformats.org/officeDocument/2006/relationships/hyperlink" Target="https://www.detmir.ru/product/index/id/6724733/" TargetMode="External" Id="rId16"/><Relationship Type="http://schemas.openxmlformats.org/officeDocument/2006/relationships/hyperlink" Target="https://www.detmir.ru/search/results/?qt=%D0%BD%D0%B5%D0%BF%D1%80%D0%BE%D0%BB%D0%B8%D0%B2%D0%B0%D0%B9%D0%BA%D0%B0" TargetMode="External" Id="rId17"/><Relationship Type="http://schemas.openxmlformats.org/officeDocument/2006/relationships/hyperlink" Target="https://www.detmir.ru/search/results/?qt=%D0%BD%D0%BE%D0%B6%D0%BD%D0%B8%D1%86%D1%8B%20%D0%B4%D0%B5%D1%82%D1%81%D0%BA%D0%B8%D0%B5" TargetMode="External" Id="rId18"/><Relationship Type="http://schemas.openxmlformats.org/officeDocument/2006/relationships/hyperlink" Target="https://www.detmir.ru/product/index/id/6442038/" TargetMode="External" Id="rId19"/><Relationship Type="http://schemas.openxmlformats.org/officeDocument/2006/relationships/hyperlink" Target="https://www.detmir.ru/catalog/index/name/cover_notebook/" TargetMode="External" Id="rId20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1"/><Relationship Type="http://schemas.openxmlformats.org/officeDocument/2006/relationships/hyperlink" Target="https://www.detmir.ru/search/results/?qt=%D0%BF%D0%B0%D0%BF%D0%BA%D0%B0%20%D0%B4%D0%BB%D1%8F%20%D1%82%D1%80%D1%83%D0%B4%D0%B0" TargetMode="External" Id="rId22"/><Relationship Type="http://schemas.openxmlformats.org/officeDocument/2006/relationships/hyperlink" Target="https://www.detmir.ru/product/index/id/6400444/" TargetMode="External" Id="rId23"/><Relationship Type="http://schemas.openxmlformats.org/officeDocument/2006/relationships/hyperlink" Target="https://www.detmir.ru/search/results/?qt=%D0%BF%D0%BB%D0%B0%D1%81%D1%82%D0%B8%D0%BB%D0%B8%D0%BD" TargetMode="External" Id="rId24"/><Relationship Type="http://schemas.openxmlformats.org/officeDocument/2006/relationships/hyperlink" Target="https://www.detmir.ru/product/index/id/6505850/" TargetMode="External" Id="rId25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6"/><Relationship Type="http://schemas.openxmlformats.org/officeDocument/2006/relationships/hyperlink" Target="https://www.detmir.ru/product/index/id/6683471/" TargetMode="External" Id="rId27"/><Relationship Type="http://schemas.openxmlformats.org/officeDocument/2006/relationships/hyperlink" Target="https://www.detmir.ru/search/results/?qt=%D1%82%D0%BE%D1%87%D0%B8%D0%BB%D0%BA%D0%B0" TargetMode="External" Id="rId28"/><Relationship Type="http://schemas.openxmlformats.org/officeDocument/2006/relationships/hyperlink" Target="https://www.detmir.ru/search/results/?qt=%D1%83%D1%87%D0%B5%D0%B1%D0%BD%D1%8B%D0%B5%20%D0%BF%D0%BE%D1%81%D0%BE%D0%B1%D0%B8%D1%8F" TargetMode="External" Id="rId29"/><Relationship Type="http://schemas.openxmlformats.org/officeDocument/2006/relationships/hyperlink" Target="https://www.detmir.ru/product/index/id/3293711/" TargetMode="External" Id="rId30"/><Relationship Type="http://schemas.openxmlformats.org/officeDocument/2006/relationships/hyperlink" Target="https://www.detmir.ru/search/results/?qt=%D1%86%D0%B2%D0%B5%D1%82%D0%BD%D0%B0%D1%8F%20%D0%B1%D1%83%D0%BC%D0%B0%D0%B3%D0%B0" TargetMode="External" Id="rId31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3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4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покупки'!H21</f>
        <v/>
      </c>
      <c r="C5" s="8">
        <f>'Аксессуары покупки'!I21</f>
        <v/>
      </c>
    </row>
    <row r="6">
      <c r="A6" s="9" t="inlineStr">
        <is>
          <t>Бельё покупки</t>
        </is>
      </c>
      <c r="B6" s="8">
        <f>'Бельё покупки'!H11</f>
        <v/>
      </c>
      <c r="C6" s="8">
        <f>'Бельё покупки'!I11</f>
        <v/>
      </c>
    </row>
    <row r="7">
      <c r="A7" s="7" t="inlineStr">
        <is>
          <t>Верхняя одежда покупки</t>
        </is>
      </c>
      <c r="B7" s="8">
        <f>'Верхняя одежда покупки'!H11</f>
        <v/>
      </c>
      <c r="C7" s="8">
        <f>'Верхняя одежда покупки'!I11</f>
        <v/>
      </c>
    </row>
    <row r="8">
      <c r="A8" s="9" t="inlineStr">
        <is>
          <t>Комната покупки</t>
        </is>
      </c>
      <c r="B8" s="8">
        <f>'Комната покупки'!H25</f>
        <v/>
      </c>
      <c r="C8" s="8">
        <f>'Комната покупки'!I25</f>
        <v/>
      </c>
    </row>
    <row r="9">
      <c r="A9" s="7" t="inlineStr">
        <is>
          <t>Оборудование покупки</t>
        </is>
      </c>
      <c r="B9" s="8">
        <f>'Оборудование покупки'!H15</f>
        <v/>
      </c>
      <c r="C9" s="8">
        <f>'Оборудование покупки'!I15</f>
        <v/>
      </c>
    </row>
    <row r="10">
      <c r="A10" s="9" t="inlineStr">
        <is>
          <t>Обувь покупки</t>
        </is>
      </c>
      <c r="B10" s="8">
        <f>'Обувь покупки'!H14</f>
        <v/>
      </c>
      <c r="C10" s="8">
        <f>'Обувь покупки'!I14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покупки'!H19</f>
        <v/>
      </c>
      <c r="C11" s="8">
        <f>'Одежда второго слоя покупки'!I19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по'!H22</f>
        <v/>
      </c>
      <c r="C12" s="8">
        <f>'Предметы личного пользования по'!I22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покупки'!H7</f>
        <v/>
      </c>
      <c r="C13" s="8">
        <f>'Продукты питания покупки'!I7</f>
        <v/>
      </c>
    </row>
    <row r="14">
      <c r="A14" s="9" t="inlineStr">
        <is>
          <t>Спорт и досуг покупки</t>
        </is>
      </c>
      <c r="B14" s="8">
        <f>'Спорт и досуг покупки'!H22</f>
        <v/>
      </c>
      <c r="C14" s="8">
        <f>'Спорт и досуг покупки'!I22</f>
        <v/>
      </c>
    </row>
    <row r="15">
      <c r="A15" s="7" t="inlineStr">
        <is>
          <t>Школьные принадлежности покупки</t>
        </is>
      </c>
      <c r="B15" s="8">
        <f>'Школьные принадлежности покупки'!H37</f>
        <v/>
      </c>
      <c r="C15" s="8">
        <f>'Школьные принадлежности покупки'!I37</f>
        <v/>
      </c>
    </row>
    <row r="16">
      <c r="A16" s="9" t="inlineStr">
        <is>
          <t>Лекарства</t>
        </is>
      </c>
      <c r="B16" s="8">
        <f>'Лекарства'!H14</f>
        <v/>
      </c>
      <c r="C16" s="8">
        <f>'Лекарства'!I14</f>
        <v/>
      </c>
    </row>
    <row r="17">
      <c r="A17" s="7" t="inlineStr">
        <is>
          <t>Медицинские услуги</t>
        </is>
      </c>
      <c r="B17" s="8">
        <f>'Медицинские услуги'!H7</f>
        <v/>
      </c>
      <c r="C17" s="8">
        <f>'Медицинские услуги'!I7</f>
        <v/>
      </c>
    </row>
    <row r="18">
      <c r="A18" s="9" t="inlineStr">
        <is>
          <t>Карманные расходы</t>
        </is>
      </c>
      <c r="B18" s="8">
        <f>'Карманные расходы'!G7</f>
        <v/>
      </c>
      <c r="C18" s="8">
        <f>'Карманные расходы'!H7</f>
        <v/>
      </c>
    </row>
    <row r="19">
      <c r="A19" s="7" t="inlineStr">
        <is>
          <t>Оборудование расходы</t>
        </is>
      </c>
      <c r="B19" s="8">
        <f>'Оборудование расходы'!G7</f>
        <v/>
      </c>
      <c r="C19" s="8">
        <f>'Оборудование расходы'!H7</f>
        <v/>
      </c>
    </row>
    <row r="20">
      <c r="A20" s="9" t="inlineStr">
        <is>
          <t>Образование расходы</t>
        </is>
      </c>
      <c r="B20" s="8">
        <f>'Образование расходы'!G10</f>
        <v/>
      </c>
      <c r="C20" s="8">
        <f>'Образование расходы'!H10</f>
        <v/>
      </c>
    </row>
    <row r="21">
      <c r="A21" s="7" t="inlineStr">
        <is>
          <t>Праздники расходы</t>
        </is>
      </c>
      <c r="B21" s="8">
        <f>'Праздники расходы'!G14</f>
        <v/>
      </c>
      <c r="C21" s="8">
        <f>'Праздники расходы'!H14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расходы'!G12</f>
        <v/>
      </c>
      <c r="C22" s="8">
        <f>'Хобби и развлечения расходы'!H12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покупки'!H12</f>
        <v/>
      </c>
      <c r="C23" s="8">
        <f>'Бытовая косметика покупки'!I12</f>
        <v/>
      </c>
    </row>
    <row r="24">
      <c r="A24" s="9" t="inlineStr">
        <is>
          <t>Бытовая посуда покупки</t>
        </is>
      </c>
      <c r="B24" s="8">
        <f>'Бытовая посуда покупки'!H23</f>
        <v/>
      </c>
      <c r="C24" s="8">
        <f>'Бытовая посуда покупки'!I23</f>
        <v/>
      </c>
    </row>
    <row r="25">
      <c r="A25" s="7" t="inlineStr">
        <is>
          <t>Бытовая техника покупки</t>
        </is>
      </c>
      <c r="B25" s="8">
        <f>'Бытовая техника покупки'!H20</f>
        <v/>
      </c>
      <c r="C25" s="8">
        <f>'Бытовая техника покупки'!I20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покупки'!H18</f>
        <v/>
      </c>
      <c r="C26" s="8">
        <f>'Мебель и хозяйство покупки'!I18</f>
        <v/>
      </c>
    </row>
    <row r="27">
      <c r="A27" s="7" t="inlineStr">
        <is>
          <t>Праздники покупки</t>
        </is>
      </c>
      <c r="B27" s="8">
        <f>'Праздники покупки'!H9</f>
        <v/>
      </c>
      <c r="C27" s="8">
        <f>'Праздники покупки'!I9</f>
        <v/>
      </c>
    </row>
    <row r="28">
      <c r="A28" s="9" t="inlineStr">
        <is>
          <t>Аренда и коммунальные платежи р</t>
        </is>
      </c>
      <c r="B28" s="8">
        <f>'Аренда и коммунальные платежи р'!F11</f>
        <v/>
      </c>
      <c r="C28" s="8">
        <f>'Аренда и коммунальные платежи р'!G11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2'!G9</f>
        <v/>
      </c>
      <c r="C29" s="8">
        <f>'Хобби и развлечения расходы 2'!H9</f>
        <v/>
      </c>
    </row>
    <row r="30">
      <c r="A30" s="9" t="inlineStr">
        <is>
          <t>Транспорт расходы</t>
        </is>
      </c>
      <c r="B30" s="8">
        <f>'Транспорт расходы'!F15</f>
        <v/>
      </c>
      <c r="C30" s="8">
        <f>'Транспорт расходы'!G15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3" t="inlineStr">
        <is>
          <t>Предметы личного пользования</t>
        </is>
      </c>
      <c r="B7" s="13" t="inlineStr">
        <is>
          <t>Предметы личного пользования</t>
        </is>
      </c>
    </row>
    <row r="8">
      <c r="A8" s="13" t="inlineStr">
        <is>
          <t>Продукты питания</t>
        </is>
      </c>
      <c r="B8" s="13" t="inlineStr">
        <is>
          <t>Продукты питания</t>
        </is>
      </c>
    </row>
    <row r="9">
      <c r="A9" s="13" t="inlineStr">
        <is>
          <t>Спорт и досуг</t>
        </is>
      </c>
      <c r="B9" s="13" t="inlineStr">
        <is>
          <t>Спорт и досуг</t>
        </is>
      </c>
    </row>
    <row r="10">
      <c r="A10" s="13" t="inlineStr">
        <is>
          <t>Школьные принадлежности</t>
        </is>
      </c>
      <c r="B10" s="13" t="inlineStr">
        <is>
          <t>Школьные принадлежности</t>
        </is>
      </c>
    </row>
    <row r="11">
      <c r="A11" s="13" t="inlineStr">
        <is>
          <t>Лекарства</t>
        </is>
      </c>
      <c r="B11" s="13" t="inlineStr">
        <is>
          <t>Лекарства</t>
        </is>
      </c>
    </row>
    <row r="12">
      <c r="A12" s="13" t="inlineStr">
        <is>
          <t>Медицинские услуги</t>
        </is>
      </c>
      <c r="B12" s="13" t="inlineStr">
        <is>
          <t>Медицинские услуги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Оборудование</t>
        </is>
      </c>
      <c r="B14" s="13" t="inlineStr">
        <is>
          <t>Оборудование</t>
        </is>
      </c>
    </row>
    <row r="15">
      <c r="A15" s="13" t="inlineStr">
        <is>
          <t>Образование</t>
        </is>
      </c>
      <c r="B15" s="13" t="inlineStr">
        <is>
          <t>Образование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  <row r="18">
      <c r="A18" s="13" t="inlineStr">
        <is>
          <t>Бытовая косметика</t>
        </is>
      </c>
      <c r="B18" s="13" t="inlineStr">
        <is>
          <t>Бытовая косметика</t>
        </is>
      </c>
    </row>
    <row r="19">
      <c r="A19" s="13" t="inlineStr">
        <is>
          <t>Бытовая посуда</t>
        </is>
      </c>
      <c r="B19" s="13" t="inlineStr">
        <is>
          <t>Бытовая посуда</t>
        </is>
      </c>
    </row>
    <row r="20">
      <c r="A20" s="13" t="inlineStr">
        <is>
          <t>Бытовая техника</t>
        </is>
      </c>
      <c r="B20" s="13" t="inlineStr">
        <is>
          <t>Бытовая техника</t>
        </is>
      </c>
    </row>
    <row r="21">
      <c r="A21" s="13" t="inlineStr">
        <is>
          <t>Мебель и хозяйство</t>
        </is>
      </c>
      <c r="B21" s="13" t="inlineStr">
        <is>
          <t>Мебель и хозяйство</t>
        </is>
      </c>
    </row>
    <row r="22">
      <c r="A22" s="13" t="inlineStr">
        <is>
          <t>Праздники</t>
        </is>
      </c>
      <c r="B22" s="13" t="inlineStr">
        <is>
          <t>Праздники</t>
        </is>
      </c>
    </row>
    <row r="23">
      <c r="A23" s="13" t="inlineStr">
        <is>
          <t>Аренда и коммунальные платежи</t>
        </is>
      </c>
      <c r="B23" s="13" t="inlineStr">
        <is>
          <t>Аренда и коммунальные платежи</t>
        </is>
      </c>
    </row>
    <row r="24">
      <c r="A24" s="13" t="inlineStr">
        <is>
          <t>Хобби и развлечения</t>
        </is>
      </c>
      <c r="B24" s="13" t="inlineStr">
        <is>
          <t>Хобби и развлечения</t>
        </is>
      </c>
    </row>
    <row r="25">
      <c r="A25" s="13" t="inlineStr">
        <is>
          <t>Транспорт</t>
        </is>
      </c>
      <c r="B25" s="13" t="inlineStr">
        <is>
          <t>Транспорт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 школу</t>
        </is>
      </c>
    </row>
    <row r="2">
      <c r="A2" s="2" t="inlineStr">
        <is>
          <t>Все строки с назначением «в школу». Кружки и секции сюда не входят.</t>
        </is>
      </c>
    </row>
    <row r="4">
      <c r="A4" s="3" t="inlineStr">
        <is>
          <t>№</t>
        </is>
      </c>
      <c r="B4" s="3" t="inlineStr">
        <is>
          <t>Блок</t>
        </is>
      </c>
      <c r="C4" s="3" t="inlineStr">
        <is>
          <t>Наименование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>
      <c r="A5" s="14" t="n">
        <v>1</v>
      </c>
      <c r="B5" s="13" t="inlineStr">
        <is>
          <t>Аксессуары</t>
        </is>
      </c>
      <c r="C5" s="13" t="inlineStr">
        <is>
          <t>Галстук</t>
        </is>
      </c>
      <c r="D5" s="15" t="n">
        <v>1</v>
      </c>
      <c r="E5" s="16" t="n">
        <v>299</v>
      </c>
      <c r="F5" s="15" t="n">
        <v>2</v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6">
      <c r="A6" s="14" t="n">
        <v>2</v>
      </c>
      <c r="B6" s="13" t="inlineStr">
        <is>
          <t>Аксессуары</t>
        </is>
      </c>
      <c r="C6" s="13" t="inlineStr">
        <is>
          <t>Ремень</t>
        </is>
      </c>
      <c r="D6" s="15" t="n">
        <v>1</v>
      </c>
      <c r="E6" s="16" t="n">
        <v>399</v>
      </c>
      <c r="F6" s="15" t="n">
        <v>2</v>
      </c>
      <c r="G6" s="8">
        <f>IF(ISNUMBER(F6),IF(F6=0,0,E6*IF(D6=0,1,D6)/F6),IF(F6="неделя",E6*IF(D6=0,1,D6)*52,IF(F6="месяц",E6*IF(D6=0,1,D6)*12,E6*IF(D6=0,1,D6))))</f>
        <v/>
      </c>
      <c r="H6" s="8">
        <f>IF(G6=0,0,G6/12)</f>
        <v/>
      </c>
    </row>
    <row r="7">
      <c r="A7" s="14" t="n">
        <v>3</v>
      </c>
      <c r="B7" s="13" t="inlineStr">
        <is>
          <t>Аксессуары</t>
        </is>
      </c>
      <c r="C7" s="13" t="inlineStr">
        <is>
          <t>Рюкзак школьный</t>
        </is>
      </c>
      <c r="D7" s="15" t="n">
        <v>1</v>
      </c>
      <c r="E7" s="16" t="n">
        <v>3499</v>
      </c>
      <c r="F7" s="15" t="n">
        <v>3</v>
      </c>
      <c r="G7" s="8">
        <f>IF(ISNUMBER(F7),IF(F7=0,0,E7*IF(D7=0,1,D7)/F7),IF(F7="неделя",E7*IF(D7=0,1,D7)*52,IF(F7="месяц",E7*IF(D7=0,1,D7)*12,E7*IF(D7=0,1,D7))))</f>
        <v/>
      </c>
      <c r="H7" s="8">
        <f>IF(G7=0,0,G7/12)</f>
        <v/>
      </c>
    </row>
    <row r="8">
      <c r="A8" s="14" t="n">
        <v>4</v>
      </c>
      <c r="B8" s="13" t="inlineStr">
        <is>
          <t>Аксессуары</t>
        </is>
      </c>
      <c r="C8" s="13" t="inlineStr">
        <is>
          <t>Сумка для обуви</t>
        </is>
      </c>
      <c r="D8" s="15" t="n">
        <v>1</v>
      </c>
      <c r="E8" s="16" t="n">
        <v>269</v>
      </c>
      <c r="F8" s="15" t="n">
        <v>2</v>
      </c>
      <c r="G8" s="8">
        <f>IF(ISNUMBER(F8),IF(F8=0,0,E8*IF(D8=0,1,D8)/F8),IF(F8="неделя",E8*IF(D8=0,1,D8)*52,IF(F8="месяц",E8*IF(D8=0,1,D8)*12,E8*IF(D8=0,1,D8))))</f>
        <v/>
      </c>
      <c r="H8" s="8">
        <f>IF(G8=0,0,G8/12)</f>
        <v/>
      </c>
    </row>
    <row r="9">
      <c r="A9" s="14" t="n">
        <v>5</v>
      </c>
      <c r="B9" s="13" t="inlineStr">
        <is>
          <t>Аксессуары</t>
        </is>
      </c>
      <c r="C9" s="13" t="inlineStr">
        <is>
          <t>Сумка для формы</t>
        </is>
      </c>
      <c r="D9" s="15" t="n">
        <v>1</v>
      </c>
      <c r="E9" s="16" t="n">
        <v>319</v>
      </c>
      <c r="F9" s="15" t="n">
        <v>2</v>
      </c>
      <c r="G9" s="8">
        <f>IF(ISNUMBER(F9),IF(F9=0,0,E9*IF(D9=0,1,D9)/F9),IF(F9="неделя",E9*IF(D9=0,1,D9)*52,IF(F9="месяц",E9*IF(D9=0,1,D9)*12,E9*IF(D9=0,1,D9))))</f>
        <v/>
      </c>
      <c r="H9" s="8">
        <f>IF(G9=0,0,G9/12)</f>
        <v/>
      </c>
    </row>
    <row r="10">
      <c r="A10" s="14" t="n">
        <v>6</v>
      </c>
      <c r="B10" s="13" t="inlineStr">
        <is>
          <t>Обувь</t>
        </is>
      </c>
      <c r="C10" s="13" t="inlineStr">
        <is>
          <t>Сменная обувь</t>
        </is>
      </c>
      <c r="D10" s="15" t="n">
        <v>1</v>
      </c>
      <c r="E10" s="16" t="n">
        <v>1800</v>
      </c>
      <c r="F10" s="15" t="n">
        <v>1</v>
      </c>
      <c r="G10" s="8">
        <f>IF(ISNUMBER(F10),IF(F10=0,0,E10*IF(D10=0,1,D10)/F10),IF(F10="неделя",E10*IF(D10=0,1,D10)*52,IF(F10="месяц",E10*IF(D10=0,1,D10)*12,E10*IF(D10=0,1,D10))))</f>
        <v/>
      </c>
      <c r="H10" s="8">
        <f>IF(G10=0,0,G10/12)</f>
        <v/>
      </c>
    </row>
    <row r="11">
      <c r="A11" s="14" t="n">
        <v>7</v>
      </c>
      <c r="B11" s="13" t="inlineStr">
        <is>
          <t>Одежда второго слоя</t>
        </is>
      </c>
      <c r="C11" s="13" t="inlineStr">
        <is>
          <t>Брюки школьные</t>
        </is>
      </c>
      <c r="D11" s="15" t="n">
        <v>2</v>
      </c>
      <c r="E11" s="16" t="n">
        <v>2000</v>
      </c>
      <c r="F11" s="15" t="n">
        <v>2</v>
      </c>
      <c r="G11" s="8">
        <f>IF(ISNUMBER(F11),IF(F11=0,0,E11*IF(D11=0,1,D11)/F11),IF(F11="неделя",E11*IF(D11=0,1,D11)*52,IF(F11="месяц",E11*IF(D11=0,1,D11)*12,E11*IF(D11=0,1,D11))))</f>
        <v/>
      </c>
      <c r="H11" s="8">
        <f>IF(G11=0,0,G11/12)</f>
        <v/>
      </c>
    </row>
    <row r="12">
      <c r="A12" s="14" t="n">
        <v>8</v>
      </c>
      <c r="B12" s="13" t="inlineStr">
        <is>
          <t>Одежда второго слоя</t>
        </is>
      </c>
      <c r="C12" s="13" t="inlineStr">
        <is>
          <t>Джемпер школьный</t>
        </is>
      </c>
      <c r="D12" s="15" t="n">
        <v>1</v>
      </c>
      <c r="E12" s="16" t="n">
        <v>1399</v>
      </c>
      <c r="F12" s="15" t="n">
        <v>2</v>
      </c>
      <c r="G12" s="8">
        <f>IF(ISNUMBER(F12),IF(F12=0,0,E12*IF(D12=0,1,D12)/F12),IF(F12="неделя",E12*IF(D12=0,1,D12)*52,IF(F12="месяц",E12*IF(D12=0,1,D12)*12,E12*IF(D12=0,1,D12))))</f>
        <v/>
      </c>
      <c r="H12" s="8">
        <f>IF(G12=0,0,G12/12)</f>
        <v/>
      </c>
    </row>
    <row r="13">
      <c r="A13" s="14" t="n">
        <v>9</v>
      </c>
      <c r="B13" s="13" t="inlineStr">
        <is>
          <t>Одежда второго слоя</t>
        </is>
      </c>
      <c r="C13" s="13" t="inlineStr">
        <is>
          <t>Жилет школьный</t>
        </is>
      </c>
      <c r="D13" s="15" t="n">
        <v>1</v>
      </c>
      <c r="E13" s="16" t="n">
        <v>999</v>
      </c>
      <c r="F13" s="15" t="n">
        <v>2</v>
      </c>
      <c r="G13" s="8">
        <f>IF(ISNUMBER(F13),IF(F13=0,0,E13*IF(D13=0,1,D13)/F13),IF(F13="неделя",E13*IF(D13=0,1,D13)*52,IF(F13="месяц",E13*IF(D13=0,1,D13)*12,E13*IF(D13=0,1,D13))))</f>
        <v/>
      </c>
      <c r="H13" s="8">
        <f>IF(G13=0,0,G13/12)</f>
        <v/>
      </c>
    </row>
    <row r="14">
      <c r="A14" s="14" t="n">
        <v>10</v>
      </c>
      <c r="B14" s="13" t="inlineStr">
        <is>
          <t>Одежда второго слоя</t>
        </is>
      </c>
      <c r="C14" s="13" t="inlineStr">
        <is>
          <t>Рубашка школьная</t>
        </is>
      </c>
      <c r="D14" s="15" t="n">
        <v>2</v>
      </c>
      <c r="E14" s="16" t="n">
        <v>2000</v>
      </c>
      <c r="F14" s="15" t="n">
        <v>1</v>
      </c>
      <c r="G14" s="8">
        <f>IF(ISNUMBER(F14),IF(F14=0,0,E14*IF(D14=0,1,D14)/F14),IF(F14="неделя",E14*IF(D14=0,1,D14)*52,IF(F14="месяц",E14*IF(D14=0,1,D14)*12,E14*IF(D14=0,1,D14))))</f>
        <v/>
      </c>
      <c r="H14" s="8">
        <f>IF(G14=0,0,G14/12)</f>
        <v/>
      </c>
    </row>
    <row r="15">
      <c r="A15" s="14" t="n">
        <v>11</v>
      </c>
      <c r="B15" s="13" t="inlineStr">
        <is>
          <t>Спорт и досуг</t>
        </is>
      </c>
      <c r="C15" s="13" t="inlineStr">
        <is>
          <t>Спортивная форма школьная</t>
        </is>
      </c>
      <c r="D15" s="15" t="n">
        <v>1</v>
      </c>
      <c r="E15" s="16" t="n">
        <v>1999</v>
      </c>
      <c r="F15" s="15" t="n">
        <v>2</v>
      </c>
      <c r="G15" s="8">
        <f>IF(ISNUMBER(F15),IF(F15=0,0,E15*IF(D15=0,1,D15)/F15),IF(F15="неделя",E15*IF(D15=0,1,D15)*52,IF(F15="месяц",E15*IF(D15=0,1,D15)*12,E15*IF(D15=0,1,D15))))</f>
        <v/>
      </c>
      <c r="H15" s="8">
        <f>IF(G15=0,0,G15/12)</f>
        <v/>
      </c>
    </row>
    <row r="16">
      <c r="A16" s="14" t="n">
        <v>12</v>
      </c>
      <c r="B16" s="13" t="inlineStr">
        <is>
          <t>Школьные принадлежности</t>
        </is>
      </c>
      <c r="C16" s="13" t="inlineStr">
        <is>
          <t>Альбом для рисования</t>
        </is>
      </c>
      <c r="D16" s="15" t="n">
        <v>1</v>
      </c>
      <c r="E16" s="16" t="n">
        <v>89</v>
      </c>
      <c r="F16" s="15" t="n">
        <v>1</v>
      </c>
      <c r="G16" s="8">
        <f>IF(ISNUMBER(F16),IF(F16=0,0,E16*IF(D16=0,1,D16)/F16),IF(F16="неделя",E16*IF(D16=0,1,D16)*52,IF(F16="месяц",E16*IF(D16=0,1,D16)*12,E16*IF(D16=0,1,D16))))</f>
        <v/>
      </c>
      <c r="H16" s="8">
        <f>IF(G16=0,0,G16/12)</f>
        <v/>
      </c>
    </row>
    <row r="17">
      <c r="A17" s="14" t="n">
        <v>13</v>
      </c>
      <c r="B17" s="13" t="inlineStr">
        <is>
          <t>Школьные принадлежности</t>
        </is>
      </c>
      <c r="C17" s="13" t="inlineStr">
        <is>
          <t>Готовальня</t>
        </is>
      </c>
      <c r="D17" s="15" t="n">
        <v>1</v>
      </c>
      <c r="E17" s="16" t="n">
        <v>349</v>
      </c>
      <c r="F17" s="15" t="n">
        <v>1</v>
      </c>
      <c r="G17" s="8">
        <f>IF(ISNUMBER(F17),IF(F17=0,0,E17*IF(D17=0,1,D17)/F17),IF(F17="неделя",E17*IF(D17=0,1,D17)*52,IF(F17="месяц",E17*IF(D17=0,1,D17)*12,E17*IF(D17=0,1,D17))))</f>
        <v/>
      </c>
      <c r="H17" s="8">
        <f>IF(G17=0,0,G17/12)</f>
        <v/>
      </c>
    </row>
    <row r="18">
      <c r="A18" s="14" t="n">
        <v>14</v>
      </c>
      <c r="B18" s="13" t="inlineStr">
        <is>
          <t>Школьные принадлежности</t>
        </is>
      </c>
      <c r="C18" s="13" t="inlineStr">
        <is>
          <t>Гуашь 12 цв.</t>
        </is>
      </c>
      <c r="D18" s="15" t="n">
        <v>1</v>
      </c>
      <c r="E18" s="16" t="n">
        <v>239</v>
      </c>
      <c r="F18" s="15" t="n">
        <v>1</v>
      </c>
      <c r="G18" s="8">
        <f>IF(ISNUMBER(F18),IF(F18=0,0,E18*IF(D18=0,1,D18)/F18),IF(F18="неделя",E18*IF(D18=0,1,D18)*52,IF(F18="месяц",E18*IF(D18=0,1,D18)*12,E18*IF(D18=0,1,D18))))</f>
        <v/>
      </c>
      <c r="H18" s="8">
        <f>IF(G18=0,0,G18/12)</f>
        <v/>
      </c>
    </row>
    <row r="19">
      <c r="A19" s="14" t="n">
        <v>15</v>
      </c>
      <c r="B19" s="13" t="inlineStr">
        <is>
          <t>Школьные принадлежности</t>
        </is>
      </c>
      <c r="C19" s="13" t="inlineStr">
        <is>
          <t>Дневник</t>
        </is>
      </c>
      <c r="D19" s="15" t="n">
        <v>1</v>
      </c>
      <c r="E19" s="16" t="n">
        <v>329</v>
      </c>
      <c r="F19" s="15" t="n">
        <v>1</v>
      </c>
      <c r="G19" s="8">
        <f>IF(ISNUMBER(F19),IF(F19=0,0,E19*IF(D19=0,1,D19)/F19),IF(F19="неделя",E19*IF(D19=0,1,D19)*52,IF(F19="месяц",E19*IF(D19=0,1,D19)*12,E19*IF(D19=0,1,D19))))</f>
        <v/>
      </c>
      <c r="H19" s="8">
        <f>IF(G19=0,0,G19/12)</f>
        <v/>
      </c>
    </row>
    <row r="20">
      <c r="A20" s="14" t="n">
        <v>16</v>
      </c>
      <c r="B20" s="13" t="inlineStr">
        <is>
          <t>Школьные принадлежности</t>
        </is>
      </c>
      <c r="C20" s="13" t="inlineStr">
        <is>
          <t>Доска для пластилина</t>
        </is>
      </c>
      <c r="D20" s="15" t="n">
        <v>1</v>
      </c>
      <c r="E20" s="16" t="n">
        <v>49</v>
      </c>
      <c r="F20" s="15" t="n">
        <v>1</v>
      </c>
      <c r="G20" s="8">
        <f>IF(ISNUMBER(F20),IF(F20=0,0,E20*IF(D20=0,1,D20)/F20),IF(F20="неделя",E20*IF(D20=0,1,D20)*52,IF(F20="месяц",E20*IF(D20=0,1,D20)*12,E20*IF(D20=0,1,D20))))</f>
        <v/>
      </c>
      <c r="H20" s="8">
        <f>IF(G20=0,0,G20/12)</f>
        <v/>
      </c>
    </row>
    <row r="21">
      <c r="A21" s="14" t="n">
        <v>17</v>
      </c>
      <c r="B21" s="13" t="inlineStr">
        <is>
          <t>Школьные принадлежности</t>
        </is>
      </c>
      <c r="C21" s="13" t="inlineStr">
        <is>
          <t>Закладки</t>
        </is>
      </c>
      <c r="D21" s="15" t="n">
        <v>3</v>
      </c>
      <c r="E21" s="16" t="n">
        <v>39</v>
      </c>
      <c r="F21" s="15" t="n">
        <v>1</v>
      </c>
      <c r="G21" s="8">
        <f>IF(ISNUMBER(F21),IF(F21=0,0,E21*IF(D21=0,1,D21)/F21),IF(F21="неделя",E21*IF(D21=0,1,D21)*52,IF(F21="месяц",E21*IF(D21=0,1,D21)*12,E21*IF(D21=0,1,D21))))</f>
        <v/>
      </c>
      <c r="H21" s="8">
        <f>IF(G21=0,0,G21/12)</f>
        <v/>
      </c>
    </row>
    <row r="22">
      <c r="A22" s="14" t="n">
        <v>18</v>
      </c>
      <c r="B22" s="13" t="inlineStr">
        <is>
          <t>Школьные принадлежности</t>
        </is>
      </c>
      <c r="C22" s="13" t="inlineStr">
        <is>
          <t>Карандаш простой HB</t>
        </is>
      </c>
      <c r="D22" s="15" t="n">
        <v>10</v>
      </c>
      <c r="E22" s="16" t="n">
        <v>20</v>
      </c>
      <c r="F22" s="15" t="n">
        <v>1</v>
      </c>
      <c r="G22" s="8">
        <f>IF(ISNUMBER(F22),IF(F22=0,0,E22*IF(D22=0,1,D22)/F22),IF(F22="неделя",E22*IF(D22=0,1,D22)*52,IF(F22="месяц",E22*IF(D22=0,1,D22)*12,E22*IF(D22=0,1,D22))))</f>
        <v/>
      </c>
      <c r="H22" s="8">
        <f>IF(G22=0,0,G22/12)</f>
        <v/>
      </c>
    </row>
    <row r="23">
      <c r="A23" s="14" t="n">
        <v>19</v>
      </c>
      <c r="B23" s="13" t="inlineStr">
        <is>
          <t>Школьные принадлежности</t>
        </is>
      </c>
      <c r="C23" s="13" t="inlineStr">
        <is>
          <t>Карандаши цветные 36</t>
        </is>
      </c>
      <c r="D23" s="15" t="n">
        <v>2</v>
      </c>
      <c r="E23" s="16" t="n">
        <v>328</v>
      </c>
      <c r="F23" s="15" t="n">
        <v>1</v>
      </c>
      <c r="G23" s="8">
        <f>IF(ISNUMBER(F23),IF(F23=0,0,E23*IF(D23=0,1,D23)/F23),IF(F23="неделя",E23*IF(D23=0,1,D23)*52,IF(F23="месяц",E23*IF(D23=0,1,D23)*12,E23*IF(D23=0,1,D23))))</f>
        <v/>
      </c>
      <c r="H23" s="8">
        <f>IF(G23=0,0,G23/12)</f>
        <v/>
      </c>
    </row>
    <row r="24">
      <c r="A24" s="14" t="n">
        <v>20</v>
      </c>
      <c r="B24" s="13" t="inlineStr">
        <is>
          <t>Школьные принадлежности</t>
        </is>
      </c>
      <c r="C24" s="13" t="inlineStr">
        <is>
          <t>Картон цветной</t>
        </is>
      </c>
      <c r="D24" s="15" t="n">
        <v>1</v>
      </c>
      <c r="E24" s="16" t="n">
        <v>89</v>
      </c>
      <c r="F24" s="15" t="n">
        <v>1</v>
      </c>
      <c r="G24" s="8">
        <f>IF(ISNUMBER(F24),IF(F24=0,0,E24*IF(D24=0,1,D24)/F24),IF(F24="неделя",E24*IF(D24=0,1,D24)*52,IF(F24="месяц",E24*IF(D24=0,1,D24)*12,E24*IF(D24=0,1,D24))))</f>
        <v/>
      </c>
      <c r="H24" s="8">
        <f>IF(G24=0,0,G24/12)</f>
        <v/>
      </c>
    </row>
    <row r="25">
      <c r="A25" s="14" t="n">
        <v>21</v>
      </c>
      <c r="B25" s="13" t="inlineStr">
        <is>
          <t>Школьные принадлежности</t>
        </is>
      </c>
      <c r="C25" s="13" t="inlineStr">
        <is>
          <t>Клей ПВА</t>
        </is>
      </c>
      <c r="D25" s="15" t="n">
        <v>2</v>
      </c>
      <c r="E25" s="16" t="n">
        <v>79</v>
      </c>
      <c r="F25" s="15" t="n">
        <v>1</v>
      </c>
      <c r="G25" s="8">
        <f>IF(ISNUMBER(F25),IF(F25=0,0,E25*IF(D25=0,1,D25)/F25),IF(F25="неделя",E25*IF(D25=0,1,D25)*52,IF(F25="месяц",E25*IF(D25=0,1,D25)*12,E25*IF(D25=0,1,D25))))</f>
        <v/>
      </c>
      <c r="H25" s="8">
        <f>IF(G25=0,0,G25/12)</f>
        <v/>
      </c>
    </row>
    <row r="26">
      <c r="A26" s="14" t="n">
        <v>22</v>
      </c>
      <c r="B26" s="13" t="inlineStr">
        <is>
          <t>Школьные принадлежности</t>
        </is>
      </c>
      <c r="C26" s="13" t="inlineStr">
        <is>
          <t>Клей-карандаш</t>
        </is>
      </c>
      <c r="D26" s="15" t="n">
        <v>2</v>
      </c>
      <c r="E26" s="16" t="n">
        <v>59</v>
      </c>
      <c r="F26" s="15" t="n">
        <v>1</v>
      </c>
      <c r="G26" s="8">
        <f>IF(ISNUMBER(F26),IF(F26=0,0,E26*IF(D26=0,1,D26)/F26),IF(F26="неделя",E26*IF(D26=0,1,D26)*52,IF(F26="месяц",E26*IF(D26=0,1,D26)*12,E26*IF(D26=0,1,D26))))</f>
        <v/>
      </c>
      <c r="H26" s="8">
        <f>IF(G26=0,0,G26/12)</f>
        <v/>
      </c>
    </row>
    <row r="27">
      <c r="A27" s="14" t="n">
        <v>23</v>
      </c>
      <c r="B27" s="13" t="inlineStr">
        <is>
          <t>Школьные принадлежности</t>
        </is>
      </c>
      <c r="C27" s="13" t="inlineStr">
        <is>
          <t>Корректор</t>
        </is>
      </c>
      <c r="D27" s="15" t="n">
        <v>2</v>
      </c>
      <c r="E27" s="16" t="n">
        <v>59</v>
      </c>
      <c r="F27" s="15" t="n">
        <v>1</v>
      </c>
      <c r="G27" s="8">
        <f>IF(ISNUMBER(F27),IF(F27=0,0,E27*IF(D27=0,1,D27)/F27),IF(F27="неделя",E27*IF(D27=0,1,D27)*52,IF(F27="месяц",E27*IF(D27=0,1,D27)*12,E27*IF(D27=0,1,D27))))</f>
        <v/>
      </c>
      <c r="H27" s="8">
        <f>IF(G27=0,0,G27/12)</f>
        <v/>
      </c>
    </row>
    <row r="28">
      <c r="A28" s="14" t="n">
        <v>24</v>
      </c>
      <c r="B28" s="13" t="inlineStr">
        <is>
          <t>Школьные принадлежности</t>
        </is>
      </c>
      <c r="C28" s="13" t="inlineStr">
        <is>
          <t>Ластик</t>
        </is>
      </c>
      <c r="D28" s="15" t="n">
        <v>3</v>
      </c>
      <c r="E28" s="16" t="n">
        <v>39</v>
      </c>
      <c r="F28" s="15" t="n">
        <v>1</v>
      </c>
      <c r="G28" s="8">
        <f>IF(ISNUMBER(F28),IF(F28=0,0,E28*IF(D28=0,1,D28)/F28),IF(F28="неделя",E28*IF(D28=0,1,D28)*52,IF(F28="месяц",E28*IF(D28=0,1,D28)*12,E28*IF(D28=0,1,D28))))</f>
        <v/>
      </c>
      <c r="H28" s="8">
        <f>IF(G28=0,0,G28/12)</f>
        <v/>
      </c>
    </row>
    <row r="29">
      <c r="A29" s="14" t="n">
        <v>25</v>
      </c>
      <c r="B29" s="13" t="inlineStr">
        <is>
          <t>Школьные принадлежности</t>
        </is>
      </c>
      <c r="C29" s="13" t="inlineStr">
        <is>
          <t>Линейка</t>
        </is>
      </c>
      <c r="D29" s="15" t="n">
        <v>1</v>
      </c>
      <c r="E29" s="16" t="n">
        <v>39</v>
      </c>
      <c r="F29" s="15" t="n">
        <v>1</v>
      </c>
      <c r="G29" s="8">
        <f>IF(ISNUMBER(F29),IF(F29=0,0,E29*IF(D29=0,1,D29)/F29),IF(F29="неделя",E29*IF(D29=0,1,D29)*52,IF(F29="месяц",E29*IF(D29=0,1,D29)*12,E29*IF(D29=0,1,D29))))</f>
        <v/>
      </c>
      <c r="H29" s="8">
        <f>IF(G29=0,0,G29/12)</f>
        <v/>
      </c>
    </row>
    <row r="30">
      <c r="A30" s="14" t="n">
        <v>26</v>
      </c>
      <c r="B30" s="13" t="inlineStr">
        <is>
          <t>Школьные принадлежности</t>
        </is>
      </c>
      <c r="C30" s="13" t="inlineStr">
        <is>
          <t>Набор кистей</t>
        </is>
      </c>
      <c r="D30" s="15" t="n">
        <v>1</v>
      </c>
      <c r="E30" s="16" t="n">
        <v>99</v>
      </c>
      <c r="F30" s="15" t="n">
        <v>1</v>
      </c>
      <c r="G30" s="8">
        <f>IF(ISNUMBER(F30),IF(F30=0,0,E30*IF(D30=0,1,D30)/F30),IF(F30="неделя",E30*IF(D30=0,1,D30)*52,IF(F30="месяц",E30*IF(D30=0,1,D30)*12,E30*IF(D30=0,1,D30))))</f>
        <v/>
      </c>
      <c r="H30" s="8">
        <f>IF(G30=0,0,G30/12)</f>
        <v/>
      </c>
    </row>
    <row r="31">
      <c r="A31" s="14" t="n">
        <v>27</v>
      </c>
      <c r="B31" s="13" t="inlineStr">
        <is>
          <t>Школьные принадлежности</t>
        </is>
      </c>
      <c r="C31" s="13" t="inlineStr">
        <is>
          <t>Набор обложек</t>
        </is>
      </c>
      <c r="D31" s="15" t="n">
        <v>2</v>
      </c>
      <c r="E31" s="16" t="n">
        <v>179</v>
      </c>
      <c r="F31" s="15" t="n">
        <v>1</v>
      </c>
      <c r="G31" s="8">
        <f>IF(ISNUMBER(F31),IF(F31=0,0,E31*IF(D31=0,1,D31)/F31),IF(F31="неделя",E31*IF(D31=0,1,D31)*52,IF(F31="месяц",E31*IF(D31=0,1,D31)*12,E31*IF(D31=0,1,D31))))</f>
        <v/>
      </c>
      <c r="H31" s="8">
        <f>IF(G31=0,0,G31/12)</f>
        <v/>
      </c>
    </row>
    <row r="32">
      <c r="A32" s="14" t="n">
        <v>28</v>
      </c>
      <c r="B32" s="13" t="inlineStr">
        <is>
          <t>Школьные принадлежности</t>
        </is>
      </c>
      <c r="C32" s="13" t="inlineStr">
        <is>
          <t>Непроливайка</t>
        </is>
      </c>
      <c r="D32" s="15" t="n">
        <v>1</v>
      </c>
      <c r="E32" s="16" t="n">
        <v>79</v>
      </c>
      <c r="F32" s="15" t="n">
        <v>1</v>
      </c>
      <c r="G32" s="8">
        <f>IF(ISNUMBER(F32),IF(F32=0,0,E32*IF(D32=0,1,D32)/F32),IF(F32="неделя",E32*IF(D32=0,1,D32)*52,IF(F32="месяц",E32*IF(D32=0,1,D32)*12,E32*IF(D32=0,1,D32))))</f>
        <v/>
      </c>
      <c r="H32" s="8">
        <f>IF(G32=0,0,G32/12)</f>
        <v/>
      </c>
    </row>
    <row r="33">
      <c r="A33" s="14" t="n">
        <v>29</v>
      </c>
      <c r="B33" s="13" t="inlineStr">
        <is>
          <t>Школьные принадлежности</t>
        </is>
      </c>
      <c r="C33" s="13" t="inlineStr">
        <is>
          <t>Ножницы</t>
        </is>
      </c>
      <c r="D33" s="15" t="n">
        <v>1</v>
      </c>
      <c r="E33" s="16" t="n">
        <v>129</v>
      </c>
      <c r="F33" s="15" t="n">
        <v>1</v>
      </c>
      <c r="G33" s="8">
        <f>IF(ISNUMBER(F33),IF(F33=0,0,E33*IF(D33=0,1,D33)/F33),IF(F33="неделя",E33*IF(D33=0,1,D33)*52,IF(F33="месяц",E33*IF(D33=0,1,D33)*12,E33*IF(D33=0,1,D33))))</f>
        <v/>
      </c>
      <c r="H33" s="8">
        <f>IF(G33=0,0,G33/12)</f>
        <v/>
      </c>
    </row>
    <row r="34">
      <c r="A34" s="14" t="n">
        <v>30</v>
      </c>
      <c r="B34" s="13" t="inlineStr">
        <is>
          <t>Школьные принадлежности</t>
        </is>
      </c>
      <c r="C34" s="13" t="inlineStr">
        <is>
          <t>Обложка для дневника</t>
        </is>
      </c>
      <c r="D34" s="15" t="n">
        <v>1</v>
      </c>
      <c r="E34" s="16" t="n">
        <v>49</v>
      </c>
      <c r="F34" s="15" t="n">
        <v>1</v>
      </c>
      <c r="G34" s="8">
        <f>IF(ISNUMBER(F34),IF(F34=0,0,E34*IF(D34=0,1,D34)/F34),IF(F34="неделя",E34*IF(D34=0,1,D34)*52,IF(F34="месяц",E34*IF(D34=0,1,D34)*12,E34*IF(D34=0,1,D34))))</f>
        <v/>
      </c>
      <c r="H34" s="8">
        <f>IF(G34=0,0,G34/12)</f>
        <v/>
      </c>
    </row>
    <row r="35">
      <c r="A35" s="14" t="n">
        <v>31</v>
      </c>
      <c r="B35" s="13" t="inlineStr">
        <is>
          <t>Школьные принадлежности</t>
        </is>
      </c>
      <c r="C35" s="13" t="inlineStr">
        <is>
          <t>Обложки для учебников</t>
        </is>
      </c>
      <c r="D35" s="15" t="n">
        <v>1</v>
      </c>
      <c r="E35" s="16" t="n">
        <v>199</v>
      </c>
      <c r="F35" s="15" t="n">
        <v>1</v>
      </c>
      <c r="G35" s="8">
        <f>IF(ISNUMBER(F35),IF(F35=0,0,E35*IF(D35=0,1,D35)/F35),IF(F35="неделя",E35*IF(D35=0,1,D35)*52,IF(F35="месяц",E35*IF(D35=0,1,D35)*12,E35*IF(D35=0,1,D35))))</f>
        <v/>
      </c>
      <c r="H35" s="8">
        <f>IF(G35=0,0,G35/12)</f>
        <v/>
      </c>
    </row>
    <row r="36">
      <c r="A36" s="14" t="n">
        <v>32</v>
      </c>
      <c r="B36" s="13" t="inlineStr">
        <is>
          <t>Школьные принадлежности</t>
        </is>
      </c>
      <c r="C36" s="13" t="inlineStr">
        <is>
          <t>Папка для тетрадей</t>
        </is>
      </c>
      <c r="D36" s="15" t="n">
        <v>1</v>
      </c>
      <c r="E36" s="16" t="n">
        <v>199</v>
      </c>
      <c r="F36" s="15" t="n">
        <v>1</v>
      </c>
      <c r="G36" s="8">
        <f>IF(ISNUMBER(F36),IF(F36=0,0,E36*IF(D36=0,1,D36)/F36),IF(F36="неделя",E36*IF(D36=0,1,D36)*52,IF(F36="месяц",E36*IF(D36=0,1,D36)*12,E36*IF(D36=0,1,D36))))</f>
        <v/>
      </c>
      <c r="H36" s="8">
        <f>IF(G36=0,0,G36/12)</f>
        <v/>
      </c>
    </row>
    <row r="37">
      <c r="A37" s="14" t="n">
        <v>33</v>
      </c>
      <c r="B37" s="13" t="inlineStr">
        <is>
          <t>Школьные принадлежности</t>
        </is>
      </c>
      <c r="C37" s="13" t="inlineStr">
        <is>
          <t>Папка для труда</t>
        </is>
      </c>
      <c r="D37" s="15" t="n">
        <v>1</v>
      </c>
      <c r="E37" s="16" t="n">
        <v>349</v>
      </c>
      <c r="F37" s="15" t="n">
        <v>1</v>
      </c>
      <c r="G37" s="8">
        <f>IF(ISNUMBER(F37),IF(F37=0,0,E37*IF(D37=0,1,D37)/F37),IF(F37="неделя",E37*IF(D37=0,1,D37)*52,IF(F37="месяц",E37*IF(D37=0,1,D37)*12,E37*IF(D37=0,1,D37))))</f>
        <v/>
      </c>
      <c r="H37" s="8">
        <f>IF(G37=0,0,G37/12)</f>
        <v/>
      </c>
    </row>
    <row r="38">
      <c r="A38" s="14" t="n">
        <v>34</v>
      </c>
      <c r="B38" s="13" t="inlineStr">
        <is>
          <t>Школьные принадлежности</t>
        </is>
      </c>
      <c r="C38" s="13" t="inlineStr">
        <is>
          <t>Пенал</t>
        </is>
      </c>
      <c r="D38" s="15" t="n">
        <v>1</v>
      </c>
      <c r="E38" s="16" t="n">
        <v>479</v>
      </c>
      <c r="F38" s="15" t="n">
        <v>1</v>
      </c>
      <c r="G38" s="8">
        <f>IF(ISNUMBER(F38),IF(F38=0,0,E38*IF(D38=0,1,D38)/F38),IF(F38="неделя",E38*IF(D38=0,1,D38)*52,IF(F38="месяц",E38*IF(D38=0,1,D38)*12,E38*IF(D38=0,1,D38))))</f>
        <v/>
      </c>
      <c r="H38" s="8">
        <f>IF(G38=0,0,G38/12)</f>
        <v/>
      </c>
    </row>
    <row r="39">
      <c r="A39" s="14" t="n">
        <v>35</v>
      </c>
      <c r="B39" s="13" t="inlineStr">
        <is>
          <t>Школьные принадлежности</t>
        </is>
      </c>
      <c r="C39" s="13" t="inlineStr">
        <is>
          <t>Пластилин 12 цв.</t>
        </is>
      </c>
      <c r="D39" s="15" t="n">
        <v>1</v>
      </c>
      <c r="E39" s="16" t="n">
        <v>149</v>
      </c>
      <c r="F39" s="15" t="n">
        <v>1</v>
      </c>
      <c r="G39" s="8">
        <f>IF(ISNUMBER(F39),IF(F39=0,0,E39*IF(D39=0,1,D39)/F39),IF(F39="неделя",E39*IF(D39=0,1,D39)*52,IF(F39="месяц",E39*IF(D39=0,1,D39)*12,E39*IF(D39=0,1,D39))))</f>
        <v/>
      </c>
      <c r="H39" s="8">
        <f>IF(G39=0,0,G39/12)</f>
        <v/>
      </c>
    </row>
    <row r="40">
      <c r="A40" s="14" t="n">
        <v>36</v>
      </c>
      <c r="B40" s="13" t="inlineStr">
        <is>
          <t>Школьные принадлежности</t>
        </is>
      </c>
      <c r="C40" s="13" t="inlineStr">
        <is>
          <t>Ручка синяя</t>
        </is>
      </c>
      <c r="D40" s="15" t="n">
        <v>10</v>
      </c>
      <c r="E40" s="16" t="n">
        <v>50</v>
      </c>
      <c r="F40" s="15" t="n">
        <v>1</v>
      </c>
      <c r="G40" s="8">
        <f>IF(ISNUMBER(F40),IF(F40=0,0,E40*IF(D40=0,1,D40)/F40),IF(F40="неделя",E40*IF(D40=0,1,D40)*52,IF(F40="месяц",E40*IF(D40=0,1,D40)*12,E40*IF(D40=0,1,D40))))</f>
        <v/>
      </c>
      <c r="H40" s="8">
        <f>IF(G40=0,0,G40/12)</f>
        <v/>
      </c>
    </row>
    <row r="41">
      <c r="A41" s="14" t="n">
        <v>37</v>
      </c>
      <c r="B41" s="13" t="inlineStr">
        <is>
          <t>Школьные принадлежности</t>
        </is>
      </c>
      <c r="C41" s="13" t="inlineStr">
        <is>
          <t>Тетрадь в клетку 18 л., твёрдая обложка</t>
        </is>
      </c>
      <c r="D41" s="15" t="n">
        <v>20</v>
      </c>
      <c r="E41" s="16" t="n">
        <v>50</v>
      </c>
      <c r="F41" s="15" t="n">
        <v>1</v>
      </c>
      <c r="G41" s="8">
        <f>IF(ISNUMBER(F41),IF(F41=0,0,E41*IF(D41=0,1,D41)/F41),IF(F41="неделя",E41*IF(D41=0,1,D41)*52,IF(F41="месяц",E41*IF(D41=0,1,D41)*12,E41*IF(D41=0,1,D41))))</f>
        <v/>
      </c>
      <c r="H41" s="8">
        <f>IF(G41=0,0,G41/12)</f>
        <v/>
      </c>
    </row>
    <row r="42">
      <c r="A42" s="14" t="n">
        <v>38</v>
      </c>
      <c r="B42" s="13" t="inlineStr">
        <is>
          <t>Школьные принадлежности</t>
        </is>
      </c>
      <c r="C42" s="13" t="inlineStr">
        <is>
          <t>Тетрадь в линейку 12 л.</t>
        </is>
      </c>
      <c r="D42" s="15" t="n">
        <v>20</v>
      </c>
      <c r="E42" s="16" t="n">
        <v>13.9</v>
      </c>
      <c r="F42" s="15" t="n">
        <v>1</v>
      </c>
      <c r="G42" s="8">
        <f>IF(ISNUMBER(F42),IF(F42=0,0,E42*IF(D42=0,1,D42)/F42),IF(F42="неделя",E42*IF(D42=0,1,D42)*52,IF(F42="месяц",E42*IF(D42=0,1,D42)*12,E42*IF(D42=0,1,D42))))</f>
        <v/>
      </c>
      <c r="H42" s="8">
        <f>IF(G42=0,0,G42/12)</f>
        <v/>
      </c>
    </row>
    <row r="43">
      <c r="A43" s="14" t="n">
        <v>39</v>
      </c>
      <c r="B43" s="13" t="inlineStr">
        <is>
          <t>Школьные принадлежности</t>
        </is>
      </c>
      <c r="C43" s="13" t="inlineStr">
        <is>
          <t>Точилка</t>
        </is>
      </c>
      <c r="D43" s="15" t="n">
        <v>1</v>
      </c>
      <c r="E43" s="16" t="n">
        <v>79</v>
      </c>
      <c r="F43" s="15" t="n">
        <v>1</v>
      </c>
      <c r="G43" s="8">
        <f>IF(ISNUMBER(F43),IF(F43=0,0,E43*IF(D43=0,1,D43)/F43),IF(F43="неделя",E43*IF(D43=0,1,D43)*52,IF(F43="месяц",E43*IF(D43=0,1,D43)*12,E43*IF(D43=0,1,D43))))</f>
        <v/>
      </c>
      <c r="H43" s="8">
        <f>IF(G43=0,0,G43/12)</f>
        <v/>
      </c>
    </row>
    <row r="44">
      <c r="A44" s="14" t="n">
        <v>40</v>
      </c>
      <c r="B44" s="13" t="inlineStr">
        <is>
          <t>Школьные принадлежности</t>
        </is>
      </c>
      <c r="C44" s="13" t="inlineStr">
        <is>
          <t>Учебные пособия</t>
        </is>
      </c>
      <c r="D44" s="15" t="n">
        <v>1</v>
      </c>
      <c r="E44" s="16" t="n">
        <v>2000</v>
      </c>
      <c r="F44" s="15" t="n">
        <v>1</v>
      </c>
      <c r="G44" s="8">
        <f>IF(ISNUMBER(F44),IF(F44=0,0,E44*IF(D44=0,1,D44)/F44),IF(F44="неделя",E44*IF(D44=0,1,D44)*52,IF(F44="месяц",E44*IF(D44=0,1,D44)*12,E44*IF(D44=0,1,D44))))</f>
        <v/>
      </c>
      <c r="H44" s="8">
        <f>IF(G44=0,0,G44/12)</f>
        <v/>
      </c>
    </row>
    <row r="45">
      <c r="A45" s="14" t="n">
        <v>41</v>
      </c>
      <c r="B45" s="13" t="inlineStr">
        <is>
          <t>Школьные принадлежности</t>
        </is>
      </c>
      <c r="C45" s="13" t="inlineStr">
        <is>
          <t>Фломастеры 50</t>
        </is>
      </c>
      <c r="D45" s="15" t="n">
        <v>2</v>
      </c>
      <c r="E45" s="16" t="n">
        <v>549</v>
      </c>
      <c r="F45" s="15" t="n">
        <v>1</v>
      </c>
      <c r="G45" s="8">
        <f>IF(ISNUMBER(F45),IF(F45=0,0,E45*IF(D45=0,1,D45)/F45),IF(F45="неделя",E45*IF(D45=0,1,D45)*52,IF(F45="месяц",E45*IF(D45=0,1,D45)*12,E45*IF(D45=0,1,D45))))</f>
        <v/>
      </c>
      <c r="H45" s="8">
        <f>IF(G45=0,0,G45/12)</f>
        <v/>
      </c>
    </row>
    <row r="46">
      <c r="A46" s="14" t="n">
        <v>42</v>
      </c>
      <c r="B46" s="13" t="inlineStr">
        <is>
          <t>Школьные принадлежности</t>
        </is>
      </c>
      <c r="C46" s="13" t="inlineStr">
        <is>
          <t>Цветная бумага</t>
        </is>
      </c>
      <c r="D46" s="15" t="n">
        <v>1</v>
      </c>
      <c r="E46" s="16" t="n">
        <v>69</v>
      </c>
      <c r="F46" s="15" t="n">
        <v>1</v>
      </c>
      <c r="G46" s="8">
        <f>IF(ISNUMBER(F46),IF(F46=0,0,E46*IF(D46=0,1,D46)/F46),IF(F46="неделя",E46*IF(D46=0,1,D46)*52,IF(F46="месяц",E46*IF(D46=0,1,D46)*12,E46*IF(D46=0,1,D46))))</f>
        <v/>
      </c>
      <c r="H46" s="8">
        <f>IF(G46=0,0,G46/12)</f>
        <v/>
      </c>
    </row>
    <row r="48">
      <c r="A48" s="10" t="inlineStr">
        <is>
          <t>Итого: в школу</t>
        </is>
      </c>
      <c r="B48" s="10" t="n"/>
      <c r="C48" s="10" t="n"/>
      <c r="D48" s="10" t="n"/>
      <c r="E48" s="10" t="n"/>
      <c r="F48" s="10" t="n"/>
      <c r="G48" s="11">
        <f>G5+G6+G7+G8+G9+G10+G11+G12+G13+G14+G15+G16+G17+G18+G19+G20+G21+G22+G23+G24+G25+G26+G27+G28+G29+G30+G31+G32+G33+G34+G35+G36+G37+G38+G39+G40+G41+G42+G43+G44+G45+G46</f>
        <v/>
      </c>
      <c r="H48" s="11">
        <f>IF(G48=0,0,G48/12)</f>
        <v/>
      </c>
    </row>
  </sheetData>
  <mergeCells count="3">
    <mergeCell ref="A48:F48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inlineStr">
        <is>
          <t>—</t>
        </is>
      </c>
      <c r="D5" s="15" t="n">
        <v>2</v>
      </c>
      <c r="E5" s="17" t="inlineStr">
        <is>
          <t>https://www.detmir.ru/search/results/?qt=%D0%B1%D0%B5%D0%B9%D1%81%D0%B1%D0%BE%D0%BB%D0%BA%D0%B0</t>
        </is>
      </c>
      <c r="F5" s="16" t="n">
        <v>399</v>
      </c>
      <c r="G5" s="15" t="n">
        <v>2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Галстук</t>
        </is>
      </c>
      <c r="C6" s="15" t="inlineStr">
        <is>
          <t>в школу</t>
        </is>
      </c>
      <c r="D6" s="15" t="n">
        <v>1</v>
      </c>
      <c r="E6" s="17" t="inlineStr">
        <is>
          <t>https://www.detmir.ru/catalog/index/name/neckties/</t>
        </is>
      </c>
      <c r="F6" s="16" t="n">
        <v>299</v>
      </c>
      <c r="G6" s="15" t="n">
        <v>2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Зонт или дождевик</t>
        </is>
      </c>
      <c r="C7" s="15" t="inlineStr">
        <is>
          <t>—</t>
        </is>
      </c>
      <c r="D7" s="15" t="n">
        <v>1</v>
      </c>
      <c r="E7" s="17" t="inlineStr">
        <is>
          <t>https://www.detmir.ru/search/results/?qt=%D0%B4%D0%BE%D0%B6%D0%B4%D0%B5%D0%B2%D0%B8%D0%BA%20%D0%B4%D0%B5%D1%82%D1%81%D0%BA%D0%B8%D0%B9</t>
        </is>
      </c>
      <c r="F7" s="16" t="n">
        <v>699</v>
      </c>
      <c r="G7" s="15" t="n">
        <v>2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Перчатки зимние</t>
        </is>
      </c>
      <c r="C8" s="15" t="inlineStr">
        <is>
          <t>—</t>
        </is>
      </c>
      <c r="D8" s="15" t="n">
        <v>1</v>
      </c>
      <c r="E8" s="17" t="inlineStr">
        <is>
          <t>https://www.detmir.ru/search/results/?qt=%D0%BF%D0%B5%D1%80%D1%87%D0%B0%D1%82%D0%BA%D0%B8%20%D0%B7%D0%B8%D0%BC%D0%BD%D0%B8%D0%B5</t>
        </is>
      </c>
      <c r="F8" s="16" t="n">
        <v>599</v>
      </c>
      <c r="G8" s="15" t="n">
        <v>2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Перчатки осенние</t>
        </is>
      </c>
      <c r="C9" s="15" t="inlineStr">
        <is>
          <t>—</t>
        </is>
      </c>
      <c r="D9" s="15" t="n">
        <v>1</v>
      </c>
      <c r="E9" s="17" t="inlineStr">
        <is>
          <t>https://www.detmir.ru/search/results/?qt=%D0%BF%D0%B5%D1%80%D1%87%D0%B0%D1%82%D0%BA%D0%B8</t>
        </is>
      </c>
      <c r="F9" s="16" t="n">
        <v>399</v>
      </c>
      <c r="G9" s="15" t="n">
        <v>2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Ремень</t>
        </is>
      </c>
      <c r="C10" s="15" t="inlineStr">
        <is>
          <t>в школу</t>
        </is>
      </c>
      <c r="D10" s="15" t="n">
        <v>1</v>
      </c>
      <c r="E10" s="17" t="inlineStr">
        <is>
          <t>https://www.detmir.ru/catalog/index/name/straps/pol-malchik/</t>
        </is>
      </c>
      <c r="F10" s="16" t="n">
        <v>399</v>
      </c>
      <c r="G10" s="15" t="n">
        <v>2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Рюкзак школьный</t>
        </is>
      </c>
      <c r="C11" s="15" t="inlineStr">
        <is>
          <t>в школу</t>
        </is>
      </c>
      <c r="D11" s="15" t="n">
        <v>1</v>
      </c>
      <c r="E11" s="17" t="inlineStr">
        <is>
          <t>https://www.detmir.ru/product/index/id/6391235/</t>
        </is>
      </c>
      <c r="F11" s="16" t="n">
        <v>3499</v>
      </c>
      <c r="G11" s="15" t="n">
        <v>3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Солнечные очки</t>
        </is>
      </c>
      <c r="C12" s="15" t="inlineStr">
        <is>
          <t>—</t>
        </is>
      </c>
      <c r="D12" s="15" t="n">
        <v>1</v>
      </c>
      <c r="E12" s="17" t="inlineStr">
        <is>
          <t>https://www.detmir.ru/search/results/?qt=PlayToday%20%D0%BE%D1%87%D0%BA%D0%B8</t>
        </is>
      </c>
      <c r="F12" s="16" t="n">
        <v>799</v>
      </c>
      <c r="G12" s="15" t="n">
        <v>2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Сумка для коньков</t>
        </is>
      </c>
      <c r="C13" s="15" t="inlineStr">
        <is>
          <t>—</t>
        </is>
      </c>
      <c r="D13" s="15" t="n">
        <v>1</v>
      </c>
      <c r="E13" s="17" t="inlineStr">
        <is>
          <t>https://www.detmir.ru/search/results/?qt=%D1%81%D1%83%D0%BC%D0%BA%D0%B0%20%D0%B4%D0%BB%D1%8F%20%D0%BA%D0%BE%D0%BD%D1%8C%D0%BA%D0%BE%D0%B2</t>
        </is>
      </c>
      <c r="F13" s="16" t="n">
        <v>1100</v>
      </c>
      <c r="G13" s="15" t="n">
        <v>3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Сумка для обуви</t>
        </is>
      </c>
      <c r="C14" s="15" t="inlineStr">
        <is>
          <t>в школу</t>
        </is>
      </c>
      <c r="D14" s="15" t="n">
        <v>1</v>
      </c>
      <c r="E14" s="17" t="inlineStr">
        <is>
          <t>https://www.detmir.ru/product/index/id/6622893/</t>
        </is>
      </c>
      <c r="F14" s="16" t="n">
        <v>269</v>
      </c>
      <c r="G14" s="15" t="n">
        <v>2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Сумка для самбо</t>
        </is>
      </c>
      <c r="C15" s="15" t="inlineStr">
        <is>
          <t>—</t>
        </is>
      </c>
      <c r="D15" s="15" t="n">
        <v>1</v>
      </c>
      <c r="E15" s="17" t="inlineStr">
        <is>
          <t>https://www.detmir.ru/search/results/?qt=%D1%81%D0%BF%D0%BE%D1%80%D1%82%D0%B8%D0%B2%D0%BD%D0%B0%D1%8F%20%D1%81%D1%83%D0%BC%D0%BA%D0%B0</t>
        </is>
      </c>
      <c r="F15" s="16" t="n">
        <v>1499</v>
      </c>
      <c r="G15" s="15" t="n">
        <v>3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Сумка для формы</t>
        </is>
      </c>
      <c r="C16" s="15" t="inlineStr">
        <is>
          <t>в школу</t>
        </is>
      </c>
      <c r="D16" s="15" t="n">
        <v>1</v>
      </c>
      <c r="E16" s="17" t="inlineStr">
        <is>
          <t>https://www.detmir.ru/product/index/id/6037286/</t>
        </is>
      </c>
      <c r="F16" s="16" t="n">
        <v>319</v>
      </c>
      <c r="G16" s="15" t="n">
        <v>2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Шапка зимняя</t>
        </is>
      </c>
      <c r="C17" s="15" t="inlineStr">
        <is>
          <t>—</t>
        </is>
      </c>
      <c r="D17" s="15" t="n">
        <v>1</v>
      </c>
      <c r="E17" s="17" t="inlineStr">
        <is>
          <t>https://www.detmir.ru/search/results/?qt=%D1%88%D0%B0%D0%BF%D0%BA%D0%B0%20%D0%B7%D0%B8%D0%BC%D0%BD%D1%8F%D1%8F</t>
        </is>
      </c>
      <c r="F17" s="16" t="n">
        <v>699</v>
      </c>
      <c r="G17" s="15" t="n">
        <v>2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8" ht="20" customHeight="1">
      <c r="A18" s="14" t="n">
        <v>14</v>
      </c>
      <c r="B18" s="13" t="inlineStr">
        <is>
          <t>Шапка осенняя</t>
        </is>
      </c>
      <c r="C18" s="15" t="inlineStr">
        <is>
          <t>—</t>
        </is>
      </c>
      <c r="D18" s="15" t="n">
        <v>1</v>
      </c>
      <c r="E18" s="17" t="inlineStr">
        <is>
          <t>https://www.detmir.ru/search/results/?qt=%D1%88%D0%B0%D0%BF%D0%BA%D0%B0%20%D0%BE%D1%81%D0%B5%D0%BD%D0%BD%D1%8F%D1%8F</t>
        </is>
      </c>
      <c r="F18" s="16" t="n">
        <v>499</v>
      </c>
      <c r="G18" s="15" t="n">
        <v>2</v>
      </c>
      <c r="H18" s="8">
        <f>IF(ISNUMBER(G18),IF(G18=0,0,F18*IF(D18=0,1,D18)/G18),IF(G18="неделя",F18*IF(D18=0,1,D18)*52,IF(G18="месяц",F18*IF(D18=0,1,D18)*12,F18*IF(D18=0,1,D18))))</f>
        <v/>
      </c>
      <c r="I18" s="8">
        <f>IF(H18=0,0,H18/12)</f>
        <v/>
      </c>
    </row>
    <row r="19" ht="20" customHeight="1">
      <c r="A19" s="14" t="n">
        <v>15</v>
      </c>
      <c r="B19" s="13" t="inlineStr">
        <is>
          <t>Шарф</t>
        </is>
      </c>
      <c r="C19" s="15" t="inlineStr">
        <is>
          <t>—</t>
        </is>
      </c>
      <c r="D19" s="15" t="n">
        <v>1</v>
      </c>
      <c r="E19" s="17" t="inlineStr">
        <is>
          <t>https://www.detmir.ru/search/results/?qt=%D1%88%D0%B0%D1%80%D1%84</t>
        </is>
      </c>
      <c r="F19" s="16" t="n">
        <v>399</v>
      </c>
      <c r="G19" s="15" t="n">
        <v>2</v>
      </c>
      <c r="H19" s="8">
        <f>IF(ISNUMBER(G19),IF(G19=0,0,F19*IF(D19=0,1,D19)/G19),IF(G19="неделя",F19*IF(D19=0,1,D19)*52,IF(G19="месяц",F19*IF(D19=0,1,D19)*12,F19*IF(D19=0,1,D19))))</f>
        <v/>
      </c>
      <c r="I19" s="8">
        <f>IF(H19=0,0,H19/12)</f>
        <v/>
      </c>
    </row>
    <row r="21">
      <c r="A21" s="10" t="inlineStr">
        <is>
          <t>Итого: Аксессуары</t>
        </is>
      </c>
      <c r="B21" s="10" t="n"/>
      <c r="C21" s="10" t="n"/>
      <c r="D21" s="10" t="n"/>
      <c r="E21" s="10" t="n"/>
      <c r="F21" s="10" t="n"/>
      <c r="G21" s="10" t="n"/>
      <c r="H21" s="11">
        <f>H5+H6+H7+H8+H9+H10+H11+H12+H13+H14+H15+H16+H17+H18+H19</f>
        <v/>
      </c>
      <c r="I21" s="11">
        <f>IF(H21=0,0,H21/12)</f>
        <v/>
      </c>
    </row>
  </sheetData>
  <mergeCells count="3">
    <mergeCell ref="A1:I1"/>
    <mergeCell ref="A21:G21"/>
    <mergeCell ref="A2:I2"/>
  </mergeCells>
  <dataValidations count="1">
    <dataValidation sqref="C5:C19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inlineStr">
        <is>
          <t>—</t>
        </is>
      </c>
      <c r="D5" s="15" t="n">
        <v>5</v>
      </c>
      <c r="E5" s="17" t="inlineStr">
        <is>
          <t>https://www.detmir.ru/product/index/id/6733145/</t>
        </is>
      </c>
      <c r="F5" s="16" t="n">
        <v>399</v>
      </c>
      <c r="G5" s="15" t="n">
        <v>1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inlineStr">
        <is>
          <t>—</t>
        </is>
      </c>
      <c r="D6" s="15" t="n">
        <v>1</v>
      </c>
      <c r="E6" s="17" t="inlineStr">
        <is>
          <t>https://www.detmir.ru/product/index/id/6550049/</t>
        </is>
      </c>
      <c r="F6" s="16" t="n">
        <v>399</v>
      </c>
      <c r="G6" s="15" t="n">
        <v>1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inlineStr">
        <is>
          <t>—</t>
        </is>
      </c>
      <c r="D7" s="15" t="n">
        <v>2</v>
      </c>
      <c r="E7" s="17" t="inlineStr">
        <is>
          <t>https://www.detmir.ru/search/results/?qt=%D0%BD%D0%BE%D1%81%D0%BA%D0%B8%20%D0%B7%D0%B8%D0%BC%D0%BD%D0%B8%D0%B5%20%D0%B4%D0%B5%D1%82%D1%81%D0%BA%D0%B8%D0%B5</t>
        </is>
      </c>
      <c r="F7" s="16" t="n">
        <v>399</v>
      </c>
      <c r="G7" s="15" t="n">
        <v>1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inlineStr">
        <is>
          <t>—</t>
        </is>
      </c>
      <c r="D8" s="15" t="n">
        <v>1</v>
      </c>
      <c r="E8" s="17" t="inlineStr">
        <is>
          <t>https://www.detmir.ru/search/results/?qt=%D1%82%D0%B5%D1%80%D0%BC%D0%BE%D0%B1%D0%B5%D0%BB%D1%8C%D0%B5</t>
        </is>
      </c>
      <c r="F8" s="16" t="n">
        <v>1499</v>
      </c>
      <c r="G8" s="15" t="n">
        <v>1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inlineStr">
        <is>
          <t>—</t>
        </is>
      </c>
      <c r="D9" s="15" t="n">
        <v>1</v>
      </c>
      <c r="E9" s="17" t="inlineStr">
        <is>
          <t>https://www.detmir.ru/product/index/id/7072737/</t>
        </is>
      </c>
      <c r="F9" s="16" t="n">
        <v>799</v>
      </c>
      <c r="G9" s="15" t="n">
        <v>1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0" t="n"/>
      <c r="H11" s="11">
        <f>H5+H6+H7+H8+H9</f>
        <v/>
      </c>
      <c r="I11" s="11">
        <f>IF(H11=0,0,H11/12)</f>
        <v/>
      </c>
    </row>
  </sheetData>
  <mergeCells count="3">
    <mergeCell ref="A1:I1"/>
    <mergeCell ref="A11:G11"/>
    <mergeCell ref="A2:I2"/>
  </mergeCells>
  <dataValidations count="1">
    <dataValidation sqref="C5:C9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inlineStr">
        <is>
          <t>—</t>
        </is>
      </c>
      <c r="D5" s="15" t="n">
        <v>1</v>
      </c>
      <c r="E5" s="17" t="inlineStr">
        <is>
          <t>https://www.detmir.ru/product/index/id/6022408/</t>
        </is>
      </c>
      <c r="F5" s="16" t="n">
        <v>1299</v>
      </c>
      <c r="G5" s="15" t="n">
        <v>2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inlineStr">
        <is>
          <t>—</t>
        </is>
      </c>
      <c r="D6" s="15" t="n">
        <v>2</v>
      </c>
      <c r="E6" s="17" t="inlineStr">
        <is>
          <t>https://www.detmir.ru/product/index/id/7061634/</t>
        </is>
      </c>
      <c r="F6" s="16" t="n">
        <v>4292</v>
      </c>
      <c r="G6" s="15" t="n">
        <v>2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inlineStr">
        <is>
          <t>—</t>
        </is>
      </c>
      <c r="D7" s="15" t="n">
        <v>1</v>
      </c>
      <c r="E7" s="17" t="inlineStr">
        <is>
          <t>https://www.wildberries.ru/brands/orby</t>
        </is>
      </c>
      <c r="F7" s="16" t="n">
        <v>2199</v>
      </c>
      <c r="G7" s="15" t="n">
        <v>2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inlineStr">
        <is>
          <t>—</t>
        </is>
      </c>
      <c r="D8" s="15" t="n">
        <v>1</v>
      </c>
      <c r="E8" s="17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F8" s="16" t="n">
        <v>2999</v>
      </c>
      <c r="G8" s="15" t="n">
        <v>2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inlineStr">
        <is>
          <t>—</t>
        </is>
      </c>
      <c r="D9" s="15" t="n">
        <v>1</v>
      </c>
      <c r="E9" s="17" t="inlineStr">
        <is>
          <t>https://www.detmir.ru/search/results/?qt=%D1%88%D1%82%D0%B0%D0%BD%D1%8B%20%D1%83%D1%82%D0%B5%D0%BF%D0%BB%D0%B5%D0%BD%D0%BD%D1%8B%D0%B5</t>
        </is>
      </c>
      <c r="F9" s="16" t="n">
        <v>2499</v>
      </c>
      <c r="G9" s="15" t="n">
        <v>2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0" t="n"/>
      <c r="H11" s="11">
        <f>H5+H6+H7+H8+H9</f>
        <v/>
      </c>
      <c r="I11" s="11">
        <f>IF(H11=0,0,H11/12)</f>
        <v/>
      </c>
    </row>
  </sheetData>
  <mergeCells count="3">
    <mergeCell ref="A1:I1"/>
    <mergeCell ref="A11:G11"/>
    <mergeCell ref="A2:I2"/>
  </mergeCells>
  <dataValidations count="1">
    <dataValidation sqref="C5:C9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inlineStr">
        <is>
          <t>—</t>
        </is>
      </c>
      <c r="D5" s="15" t="n">
        <v>1</v>
      </c>
      <c r="E5" s="17" t="inlineStr">
        <is>
          <t>https://leroymerlin.ru/catalogue/tyul/</t>
        </is>
      </c>
      <c r="F5" s="16" t="n">
        <v>1200</v>
      </c>
      <c r="G5" s="15" t="n">
        <v>5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inlineStr">
        <is>
          <t>—</t>
        </is>
      </c>
      <c r="D6" s="15" t="n">
        <v>1</v>
      </c>
      <c r="E6" s="17" t="inlineStr">
        <is>
          <t>https://leroymerlin.ru/catalogue/kovry/</t>
        </is>
      </c>
      <c r="F6" s="16" t="n">
        <v>4000</v>
      </c>
      <c r="G6" s="15" t="n">
        <v>5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inlineStr">
        <is>
          <t>—</t>
        </is>
      </c>
      <c r="D7" s="15" t="n">
        <v>1</v>
      </c>
      <c r="E7" s="17" t="inlineStr">
        <is>
          <t>https://www.detmir.ru/search/results/?qt=%D0%BA%D0%BE%D0%BD%D1%82%D0%B5%D0%B9%D0%BD%D0%B5%D1%80%20%D0%B4%D0%BB%D1%8F%20%D0%B8%D0%B3%D1%80%D1%83%D1%88%D0%B5%D0%BA</t>
        </is>
      </c>
      <c r="F7" s="16" t="n">
        <v>2500</v>
      </c>
      <c r="G7" s="15" t="n">
        <v>3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inlineStr">
        <is>
          <t>—</t>
        </is>
      </c>
      <c r="D8" s="15" t="n">
        <v>1</v>
      </c>
      <c r="E8" s="17" t="inlineStr">
        <is>
          <t>https://www.detmir.ru/search/results/?qt=%D0%BA%D1%80%D0%B5%D1%81%D0%BB%D0%BE</t>
        </is>
      </c>
      <c r="F8" s="16" t="n">
        <v>4499</v>
      </c>
      <c r="G8" s="15" t="n">
        <v>5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inlineStr">
        <is>
          <t>—</t>
        </is>
      </c>
      <c r="D9" s="15" t="n">
        <v>1</v>
      </c>
      <c r="E9" s="17" t="inlineStr">
        <is>
          <t>https://www.detmir.ru/search/results/?qt=%D0%BA%D1%80%D0%B5%D1%81%D0%BB%D0%BE-%D0%BC%D0%B5%D1%88%D0%BE%D0%BA</t>
        </is>
      </c>
      <c r="F9" s="16" t="n">
        <v>5500</v>
      </c>
      <c r="G9" s="15" t="n">
        <v>3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inlineStr">
        <is>
          <t>—</t>
        </is>
      </c>
      <c r="D10" s="15" t="n">
        <v>1</v>
      </c>
      <c r="E10" s="17" t="inlineStr">
        <is>
          <t>https://www.avito.ru/</t>
        </is>
      </c>
      <c r="F10" s="16" t="n">
        <v>30000</v>
      </c>
      <c r="G10" s="15" t="n">
        <v>3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inlineStr">
        <is>
          <t>—</t>
        </is>
      </c>
      <c r="D11" s="15" t="n">
        <v>1</v>
      </c>
      <c r="E11" s="17" t="inlineStr">
        <is>
          <t>https://ormatek.com/catalog/matrasy/80x180/</t>
        </is>
      </c>
      <c r="F11" s="16" t="n">
        <v>8000</v>
      </c>
      <c r="G11" s="15" t="n">
        <v>8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inlineStr">
        <is>
          <t>—</t>
        </is>
      </c>
      <c r="D12" s="15" t="n">
        <v>1</v>
      </c>
      <c r="E12" s="17" t="inlineStr">
        <is>
          <t>https://www.detmir.ru/search/results/?qt=%D0%BB%D0%B0%D0%BC%D0%BF%D0%B0</t>
        </is>
      </c>
      <c r="F12" s="16" t="n">
        <v>1299</v>
      </c>
      <c r="G12" s="15" t="n">
        <v>3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inlineStr">
        <is>
          <t>—</t>
        </is>
      </c>
      <c r="D13" s="15" t="n">
        <v>1</v>
      </c>
      <c r="E13" s="17" t="inlineStr">
        <is>
          <t>https://www.detmir.ru/search/results/?qt=%D0%BD%D0%BE%D1%87%D0%BD%D0%B8%D0%BA</t>
        </is>
      </c>
      <c r="F13" s="16" t="n">
        <v>899</v>
      </c>
      <c r="G13" s="15" t="n">
        <v>3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inlineStr">
        <is>
          <t>—</t>
        </is>
      </c>
      <c r="D14" s="15" t="n">
        <v>1</v>
      </c>
      <c r="E14" s="17" t="inlineStr">
        <is>
          <t>https://www.detmir.ru/search/results/?qt=%D0%BE%D0%B4%D0%B5%D1%8F%D0%BB%D0%BE</t>
        </is>
      </c>
      <c r="F14" s="16" t="n">
        <v>1500</v>
      </c>
      <c r="G14" s="15" t="n">
        <v>3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inlineStr">
        <is>
          <t>—</t>
        </is>
      </c>
      <c r="D15" s="15" t="n">
        <v>1</v>
      </c>
      <c r="E15" s="17" t="inlineStr">
        <is>
          <t>https://www.detmir.ru/search/results/?qt=%D0%BF%D0%BB%D0%B5%D0%B4</t>
        </is>
      </c>
      <c r="F15" s="16" t="n">
        <v>1999</v>
      </c>
      <c r="G15" s="15" t="n">
        <v>3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inlineStr">
        <is>
          <t>—</t>
        </is>
      </c>
      <c r="D16" s="15" t="n">
        <v>1</v>
      </c>
      <c r="E16" s="17" t="inlineStr">
        <is>
          <t>https://www.detmir.ru/search/results/?qt=%D0%BF%D0%BE%D0%B4%D1%83%D1%88%D0%BA%D0%B0</t>
        </is>
      </c>
      <c r="F16" s="16" t="n">
        <v>800</v>
      </c>
      <c r="G16" s="15" t="n">
        <v>3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inlineStr">
        <is>
          <t>—</t>
        </is>
      </c>
      <c r="D17" s="15" t="n">
        <v>2</v>
      </c>
      <c r="E17" s="17" t="inlineStr">
        <is>
          <t>https://www.detmir.ru/search/results/?qt=%D0%BF%D0%BE%D0%B4%D1%83%D1%88%D0%BA%D0%B0%20%D0%B4%D0%B5%D0%BA%D0%BE%D1%80%D0%B0%D1%82%D0%B8%D0%B2%D0%BD%D0%B0%D1%8F</t>
        </is>
      </c>
      <c r="F17" s="16" t="n">
        <v>599</v>
      </c>
      <c r="G17" s="15" t="n">
        <v>3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inlineStr">
        <is>
          <t>—</t>
        </is>
      </c>
      <c r="D18" s="15" t="n">
        <v>2</v>
      </c>
      <c r="E18" s="17" t="inlineStr">
        <is>
          <t>https://www.detmir.ru/search/results/?qt=%D0%BF%D0%BE%D1%81%D1%82%D0%B5%D0%BB%D1%8C%D0%BD%D0%BE%D0%B5</t>
        </is>
      </c>
      <c r="F18" s="16" t="n">
        <v>1499</v>
      </c>
      <c r="G18" s="15" t="n">
        <v>2</v>
      </c>
      <c r="H18" s="8">
        <f>IF(ISNUMBER(G18),IF(G18=0,0,F18*IF(D18=0,1,D18)/G18),IF(G18="неделя",F18*IF(D18=0,1,D18)*52,IF(G18="месяц",F18*IF(D18=0,1,D18)*12,F18*IF(D18=0,1,D18))))</f>
        <v/>
      </c>
      <c r="I18" s="8">
        <f>IF(H18=0,0,H18/12)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inlineStr">
        <is>
          <t>—</t>
        </is>
      </c>
      <c r="D19" s="15" t="n">
        <v>1</v>
      </c>
      <c r="E19" s="17" t="inlineStr">
        <is>
          <t>https://leroymerlin.ru/catalogue/lyustry/</t>
        </is>
      </c>
      <c r="F19" s="16" t="n">
        <v>6000</v>
      </c>
      <c r="G19" s="15" t="n">
        <v>7</v>
      </c>
      <c r="H19" s="8">
        <f>IF(ISNUMBER(G19),IF(G19=0,0,F19*IF(D19=0,1,D19)/G19),IF(G19="неделя",F19*IF(D19=0,1,D19)*52,IF(G19="месяц",F19*IF(D19=0,1,D19)*12,F19*IF(D19=0,1,D19))))</f>
        <v/>
      </c>
      <c r="I19" s="8">
        <f>IF(H19=0,0,H19/12)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inlineStr">
        <is>
          <t>—</t>
        </is>
      </c>
      <c r="D20" s="15" t="n">
        <v>1</v>
      </c>
      <c r="E20" s="17" t="inlineStr">
        <is>
          <t>https://www.detmir.ru/catalog/index/name/stellsjy/</t>
        </is>
      </c>
      <c r="F20" s="16" t="n">
        <v>4786</v>
      </c>
      <c r="G20" s="15" t="n">
        <v>5</v>
      </c>
      <c r="H20" s="8">
        <f>IF(ISNUMBER(G20),IF(G20=0,0,F20*IF(D20=0,1,D20)/G20),IF(G20="неделя",F20*IF(D20=0,1,D20)*52,IF(G20="месяц",F20*IF(D20=0,1,D20)*12,F20*IF(D20=0,1,D20))))</f>
        <v/>
      </c>
      <c r="I20" s="8">
        <f>IF(H20=0,0,H20/12)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inlineStr">
        <is>
          <t>—</t>
        </is>
      </c>
      <c r="D21" s="15" t="n">
        <v>1</v>
      </c>
      <c r="E21" s="17" t="inlineStr">
        <is>
          <t>https://www.detmir.ru/search/results/?qt=%D1%81%D1%82%D0%BE%D0%BB%20%D0%BF%D0%B8%D1%81%D1%8C%D0%BC%D0%B5%D0%BD%D0%BD%D1%8B%D0%B9</t>
        </is>
      </c>
      <c r="F21" s="16" t="n">
        <v>15000</v>
      </c>
      <c r="G21" s="15" t="n">
        <v>5</v>
      </c>
      <c r="H21" s="8">
        <f>IF(ISNUMBER(G21),IF(G21=0,0,F21*IF(D21=0,1,D21)/G21),IF(G21="неделя",F21*IF(D21=0,1,D21)*52,IF(G21="месяц",F21*IF(D21=0,1,D21)*12,F21*IF(D21=0,1,D21))))</f>
        <v/>
      </c>
      <c r="I21" s="8">
        <f>IF(H21=0,0,H21/12)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inlineStr">
        <is>
          <t>—</t>
        </is>
      </c>
      <c r="D22" s="15" t="n">
        <v>1</v>
      </c>
      <c r="E22" s="17" t="inlineStr">
        <is>
          <t>https://leroymerlin.ru/search/?q=%D1%88%D0%BA%D0%B0%D1%84%20%D0%B4%D0%BB%D1%8F%20%D0%BE%D0%B4%D0%B5%D0%B6%D0%B4%D1%8B</t>
        </is>
      </c>
      <c r="F22" s="16" t="n">
        <v>17990</v>
      </c>
      <c r="G22" s="15" t="n">
        <v>7</v>
      </c>
      <c r="H22" s="8">
        <f>IF(ISNUMBER(G22),IF(G22=0,0,F22*IF(D22=0,1,D22)/G22),IF(G22="неделя",F22*IF(D22=0,1,D22)*52,IF(G22="месяц",F22*IF(D22=0,1,D22)*12,F22*IF(D22=0,1,D22))))</f>
        <v/>
      </c>
      <c r="I22" s="8">
        <f>IF(H22=0,0,H22/12)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inlineStr">
        <is>
          <t>—</t>
        </is>
      </c>
      <c r="D23" s="15" t="n">
        <v>2</v>
      </c>
      <c r="E23" s="17" t="inlineStr">
        <is>
          <t>https://leroymerlin.ru/catalogue/shtory/</t>
        </is>
      </c>
      <c r="F23" s="16" t="n">
        <v>1200</v>
      </c>
      <c r="G23" s="15" t="n">
        <v>5</v>
      </c>
      <c r="H23" s="8">
        <f>IF(ISNUMBER(G23),IF(G23=0,0,F23*IF(D23=0,1,D23)/G23),IF(G23="неделя",F23*IF(D23=0,1,D23)*52,IF(G23="месяц",F23*IF(D23=0,1,D23)*12,F23*IF(D23=0,1,D23))))</f>
        <v/>
      </c>
      <c r="I23" s="8">
        <f>IF(H23=0,0,H23/12)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0" t="n"/>
      <c r="H25" s="11">
        <f>H5+H6+H7+H8+H9+H10+H11+H12+H13+H14+H15+H16+H17+H18+H19+H20+H21+H22+H23</f>
        <v/>
      </c>
      <c r="I25" s="11">
        <f>IF(H25=0,0,H25/12)</f>
        <v/>
      </c>
    </row>
  </sheetData>
  <mergeCells count="3">
    <mergeCell ref="A1:I1"/>
    <mergeCell ref="A2:I2"/>
    <mergeCell ref="A25:G25"/>
  </mergeCells>
  <dataValidations count="1">
    <dataValidation sqref="C5:C23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inlineStr">
        <is>
          <t>—</t>
        </is>
      </c>
      <c r="D5" s="15" t="n">
        <v>1</v>
      </c>
      <c r="E5" s="17" t="inlineStr">
        <is>
          <t>https://www.dns-shop.ru/catalog/17a8a40216404e77/klaviatury/</t>
        </is>
      </c>
      <c r="F5" s="16" t="n">
        <v>1499</v>
      </c>
      <c r="G5" s="15" t="n">
        <v>4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inlineStr">
        <is>
          <t>—</t>
        </is>
      </c>
      <c r="D6" s="15" t="n">
        <v>1</v>
      </c>
      <c r="E6" s="17" t="inlineStr">
        <is>
          <t>https://www.dns-shop.ru/catalog/17a9f9e316404e77/kovriki-dlya-myshi/</t>
        </is>
      </c>
      <c r="F6" s="16" t="n">
        <v>299</v>
      </c>
      <c r="G6" s="15" t="n">
        <v>2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Колонки</t>
        </is>
      </c>
      <c r="C7" s="15" t="inlineStr">
        <is>
          <t>—</t>
        </is>
      </c>
      <c r="D7" s="15" t="n">
        <v>1</v>
      </c>
      <c r="E7" s="17" t="inlineStr">
        <is>
          <t>https://www.dns-shop.ru/catalog/17a8914916404e77/kompyuternaya-akustika/</t>
        </is>
      </c>
      <c r="F7" s="16" t="n">
        <v>1499</v>
      </c>
      <c r="G7" s="15" t="n">
        <v>4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inlineStr">
        <is>
          <t>—</t>
        </is>
      </c>
      <c r="D8" s="15" t="n">
        <v>1</v>
      </c>
      <c r="E8" s="17" t="inlineStr">
        <is>
          <t>https://www.dns-shop.ru/catalog/17a89bdd16404e77/mikrofoni/</t>
        </is>
      </c>
      <c r="F8" s="16" t="n">
        <v>1299</v>
      </c>
      <c r="G8" s="15" t="n">
        <v>4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Монитор</t>
        </is>
      </c>
      <c r="C9" s="15" t="inlineStr">
        <is>
          <t>—</t>
        </is>
      </c>
      <c r="D9" s="15" t="n">
        <v>1</v>
      </c>
      <c r="E9" s="17" t="inlineStr">
        <is>
          <t>https://www.dns-shop.ru/catalog/17a8943716404e77/monitory/</t>
        </is>
      </c>
      <c r="F9" s="16" t="n">
        <v>8999</v>
      </c>
      <c r="G9" s="15" t="n">
        <v>4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Мышь</t>
        </is>
      </c>
      <c r="C10" s="15" t="inlineStr">
        <is>
          <t>—</t>
        </is>
      </c>
      <c r="D10" s="15" t="n">
        <v>1</v>
      </c>
      <c r="E10" s="17" t="inlineStr">
        <is>
          <t>https://www.dns-shop.ru/catalog/17a8a4d816404e77/myshi/</t>
        </is>
      </c>
      <c r="F10" s="16" t="n">
        <v>799</v>
      </c>
      <c r="G10" s="15" t="n">
        <v>4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inlineStr">
        <is>
          <t>—</t>
        </is>
      </c>
      <c r="D11" s="15" t="n">
        <v>1</v>
      </c>
      <c r="E11" s="17" t="inlineStr">
        <is>
          <t>https://www.detmir.ru/search/results/?qt=%D0%BD%D0%B0%D1%83%D1%88%D0%BD%D0%B8%D0%BA%D0%B8</t>
        </is>
      </c>
      <c r="F11" s="16" t="n">
        <v>1999</v>
      </c>
      <c r="G11" s="15" t="n">
        <v>4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inlineStr">
        <is>
          <t>—</t>
        </is>
      </c>
      <c r="D12" s="15" t="n">
        <v>1</v>
      </c>
      <c r="E12" s="17" t="inlineStr">
        <is>
          <t>https://www.avito.ru/</t>
        </is>
      </c>
      <c r="F12" s="16" t="n">
        <v>23000</v>
      </c>
      <c r="G12" s="15" t="n">
        <v>4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inlineStr">
        <is>
          <t>—</t>
        </is>
      </c>
      <c r="D13" s="15" t="n">
        <v>1</v>
      </c>
      <c r="E13" s="17" t="inlineStr">
        <is>
          <t>https://www.avito.ru/</t>
        </is>
      </c>
      <c r="F13" s="16" t="n">
        <v>5000</v>
      </c>
      <c r="G13" s="15" t="n">
        <v>1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0" t="n"/>
      <c r="H15" s="11">
        <f>H5+H6+H7+H8+H9+H10+H11+H12+H13</f>
        <v/>
      </c>
      <c r="I15" s="11">
        <f>IF(H15=0,0,H15/12)</f>
        <v/>
      </c>
    </row>
  </sheetData>
  <mergeCells count="3">
    <mergeCell ref="A1:I1"/>
    <mergeCell ref="A2:I2"/>
    <mergeCell ref="A15:G15"/>
  </mergeCells>
  <dataValidations count="1">
    <dataValidation sqref="C5:C13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inlineStr">
        <is>
          <t>—</t>
        </is>
      </c>
      <c r="D5" s="15" t="n">
        <v>1</v>
      </c>
      <c r="E5" s="17" t="inlineStr">
        <is>
          <t>https://www.detmir.ru/catalog/index/name/botinki_m/sezon_oio-zima/</t>
        </is>
      </c>
      <c r="F5" s="16" t="n">
        <v>3999</v>
      </c>
      <c r="G5" s="15" t="n">
        <v>1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inlineStr">
        <is>
          <t>—</t>
        </is>
      </c>
      <c r="D6" s="15" t="n">
        <v>1</v>
      </c>
      <c r="E6" s="17" t="inlineStr">
        <is>
          <t>https://www.detmir.ru/catalog/index/name/botinki_m/sezon_oio-demisezon/</t>
        </is>
      </c>
      <c r="F6" s="16" t="n">
        <v>2999</v>
      </c>
      <c r="G6" s="15" t="n">
        <v>1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inlineStr">
        <is>
          <t>—</t>
        </is>
      </c>
      <c r="D7" s="15" t="n">
        <v>1</v>
      </c>
      <c r="E7" s="17" t="inlineStr">
        <is>
          <t>https://www.detmir.ru/product/index/id/7076432/</t>
        </is>
      </c>
      <c r="F7" s="16" t="n">
        <v>2499</v>
      </c>
      <c r="G7" s="15" t="n">
        <v>1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inlineStr">
        <is>
          <t>—</t>
        </is>
      </c>
      <c r="D8" s="15" t="n">
        <v>1</v>
      </c>
      <c r="E8" s="17" t="inlineStr">
        <is>
          <t>https://www.detmir.ru/catalog/index/name/shoes_for_boys/brand/4112/</t>
        </is>
      </c>
      <c r="F8" s="16" t="n">
        <v>999</v>
      </c>
      <c r="G8" s="15" t="n">
        <v>1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inlineStr">
        <is>
          <t>—</t>
        </is>
      </c>
      <c r="D9" s="15" t="n">
        <v>1</v>
      </c>
      <c r="E9" s="17" t="inlineStr">
        <is>
          <t>https://www.detmir.ru/search/results/?qt=%D1%81%D0%BB%D0%B0%D0%BD%D1%86%D1%8B</t>
        </is>
      </c>
      <c r="F9" s="16" t="n">
        <v>499</v>
      </c>
      <c r="G9" s="15" t="n">
        <v>1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Сменная обувь</t>
        </is>
      </c>
      <c r="C10" s="15" t="inlineStr">
        <is>
          <t>в школу</t>
        </is>
      </c>
      <c r="D10" s="15" t="n">
        <v>1</v>
      </c>
      <c r="E10" s="17" t="inlineStr">
        <is>
          <t>https://www.sportmaster.ru/catalog/deti/obuv/krossovki_kedy/</t>
        </is>
      </c>
      <c r="F10" s="16" t="n">
        <v>1800</v>
      </c>
      <c r="G10" s="15" t="n">
        <v>1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Тапочки домашние</t>
        </is>
      </c>
      <c r="C11" s="15" t="inlineStr">
        <is>
          <t>—</t>
        </is>
      </c>
      <c r="D11" s="15" t="n">
        <v>1</v>
      </c>
      <c r="E11" s="17" t="inlineStr">
        <is>
          <t>https://www.detmir.ru/search/results/?qt=%D1%82%D0%B0%D0%BF%D0%BE%D1%87%D0%BA%D0%B8</t>
        </is>
      </c>
      <c r="F11" s="16" t="n">
        <v>599</v>
      </c>
      <c r="G11" s="15" t="n">
        <v>1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Туфли праздничные</t>
        </is>
      </c>
      <c r="C12" s="15" t="inlineStr">
        <is>
          <t>—</t>
        </is>
      </c>
      <c r="D12" s="15" t="n">
        <v>1</v>
      </c>
      <c r="E12" s="17" t="inlineStr">
        <is>
          <t>https://www.detmir.ru/product/index/id/7077779/</t>
        </is>
      </c>
      <c r="F12" s="16" t="n">
        <v>1599</v>
      </c>
      <c r="G12" s="15" t="n">
        <v>1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4">
      <c r="A14" s="10" t="inlineStr">
        <is>
          <t>Итого: Обувь</t>
        </is>
      </c>
      <c r="B14" s="10" t="n"/>
      <c r="C14" s="10" t="n"/>
      <c r="D14" s="10" t="n"/>
      <c r="E14" s="10" t="n"/>
      <c r="F14" s="10" t="n"/>
      <c r="G14" s="10" t="n"/>
      <c r="H14" s="11">
        <f>H5+H6+H7+H8+H9+H10+H11+H12</f>
        <v/>
      </c>
      <c r="I14" s="11">
        <f>IF(H14=0,0,H14/12)</f>
        <v/>
      </c>
    </row>
  </sheetData>
  <mergeCells count="3">
    <mergeCell ref="A1:I1"/>
    <mergeCell ref="A14:G14"/>
    <mergeCell ref="A2:I2"/>
  </mergeCells>
  <dataValidations count="1">
    <dataValidation sqref="C5:C12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inlineStr">
        <is>
          <t>—</t>
        </is>
      </c>
      <c r="D5" s="15" t="n">
        <v>1</v>
      </c>
      <c r="E5" s="17" t="inlineStr">
        <is>
          <t>https://www.detmir.ru/product/index/id/7069209/</t>
        </is>
      </c>
      <c r="F5" s="16" t="n">
        <v>1299</v>
      </c>
      <c r="G5" s="15" t="n">
        <v>1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Брюки школьные</t>
        </is>
      </c>
      <c r="C6" s="15" t="inlineStr">
        <is>
          <t>в школу</t>
        </is>
      </c>
      <c r="D6" s="15" t="n">
        <v>2</v>
      </c>
      <c r="E6" s="17" t="inlineStr">
        <is>
          <t>https://www.wildberries.ru/catalog/13454614/detail.aspx</t>
        </is>
      </c>
      <c r="F6" s="16" t="n">
        <v>2000</v>
      </c>
      <c r="G6" s="15" t="n">
        <v>2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Джемпер школьный</t>
        </is>
      </c>
      <c r="C7" s="15" t="inlineStr">
        <is>
          <t>в школу</t>
        </is>
      </c>
      <c r="D7" s="15" t="n">
        <v>1</v>
      </c>
      <c r="E7" s="17" t="inlineStr">
        <is>
          <t>https://www.detmir.ru/product/index/id/7065088/</t>
        </is>
      </c>
      <c r="F7" s="16" t="n">
        <v>1399</v>
      </c>
      <c r="G7" s="15" t="n">
        <v>2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Джинсы</t>
        </is>
      </c>
      <c r="C8" s="15" t="inlineStr">
        <is>
          <t>—</t>
        </is>
      </c>
      <c r="D8" s="15" t="n">
        <v>2</v>
      </c>
      <c r="E8" s="17" t="inlineStr">
        <is>
          <t>https://www.detmir.ru/catalog/index/name/detskaya_odezhda/brand/4112/</t>
        </is>
      </c>
      <c r="F8" s="16" t="n">
        <v>799</v>
      </c>
      <c r="G8" s="15" t="n">
        <v>2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Домашний костюм</t>
        </is>
      </c>
      <c r="C9" s="15" t="inlineStr">
        <is>
          <t>—</t>
        </is>
      </c>
      <c r="D9" s="15" t="n">
        <v>2</v>
      </c>
      <c r="E9" s="17" t="inlineStr">
        <is>
          <t>https://www.detmir.ru/search/results/?qt=%D0%B4%D0%BE%D0%BC%D0%B0%D1%88%D0%BD%D0%B8%D0%B9%20%D0%BA%D0%BE%D1%81%D1%82%D1%8E%D0%BC</t>
        </is>
      </c>
      <c r="F9" s="16" t="n">
        <v>1499</v>
      </c>
      <c r="G9" s="15" t="n">
        <v>2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Жилет школьный</t>
        </is>
      </c>
      <c r="C10" s="15" t="inlineStr">
        <is>
          <t>в школу</t>
        </is>
      </c>
      <c r="D10" s="15" t="n">
        <v>1</v>
      </c>
      <c r="E10" s="17" t="inlineStr">
        <is>
          <t>https://www.detmir.ru/product/index/id/7065103/</t>
        </is>
      </c>
      <c r="F10" s="16" t="n">
        <v>999</v>
      </c>
      <c r="G10" s="15" t="n">
        <v>2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Пиджак праздничный</t>
        </is>
      </c>
      <c r="C11" s="15" t="inlineStr">
        <is>
          <t>—</t>
        </is>
      </c>
      <c r="D11" s="15" t="n">
        <v>1</v>
      </c>
      <c r="E11" s="17" t="inlineStr">
        <is>
          <t>https://www.detmir.ru/product/index/id/6643629/</t>
        </is>
      </c>
      <c r="F11" s="16" t="n">
        <v>2399</v>
      </c>
      <c r="G11" s="15" t="n">
        <v>1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Рубашка праздничная</t>
        </is>
      </c>
      <c r="C12" s="15" t="inlineStr">
        <is>
          <t>—</t>
        </is>
      </c>
      <c r="D12" s="15" t="n">
        <v>1</v>
      </c>
      <c r="E12" s="17" t="inlineStr">
        <is>
          <t>https://orby.ru/c/shkolnaya-forma-dlya-malchikov/</t>
        </is>
      </c>
      <c r="F12" s="16" t="n">
        <v>2000</v>
      </c>
      <c r="G12" s="15" t="n">
        <v>1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Рубашка школьная</t>
        </is>
      </c>
      <c r="C13" s="15" t="inlineStr">
        <is>
          <t>в школу</t>
        </is>
      </c>
      <c r="D13" s="15" t="n">
        <v>2</v>
      </c>
      <c r="E13" s="17" t="inlineStr">
        <is>
          <t>https://orby.ru/c/shkolnaya-forma-dlya-malchikov/</t>
        </is>
      </c>
      <c r="F13" s="16" t="n">
        <v>2000</v>
      </c>
      <c r="G13" s="15" t="n">
        <v>1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Свитер</t>
        </is>
      </c>
      <c r="C14" s="15" t="inlineStr">
        <is>
          <t>—</t>
        </is>
      </c>
      <c r="D14" s="15" t="n">
        <v>2</v>
      </c>
      <c r="E14" s="17" t="inlineStr">
        <is>
          <t>https://www.detmir.ru/search/results/?qt=%D1%81%D0%B2%D0%B8%D1%82%D0%B5%D1%80</t>
        </is>
      </c>
      <c r="F14" s="16" t="n">
        <v>1199</v>
      </c>
      <c r="G14" s="15" t="n">
        <v>2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Футболка</t>
        </is>
      </c>
      <c r="C15" s="15" t="inlineStr">
        <is>
          <t>—</t>
        </is>
      </c>
      <c r="D15" s="15" t="n">
        <v>2</v>
      </c>
      <c r="E15" s="17" t="inlineStr">
        <is>
          <t>https://www.wildberries.ru/brands/playtoday</t>
        </is>
      </c>
      <c r="F15" s="16" t="n">
        <v>599</v>
      </c>
      <c r="G15" s="15" t="n">
        <v>1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Худи</t>
        </is>
      </c>
      <c r="C16" s="15" t="inlineStr">
        <is>
          <t>—</t>
        </is>
      </c>
      <c r="D16" s="15" t="n">
        <v>2</v>
      </c>
      <c r="E16" s="17" t="inlineStr">
        <is>
          <t>https://www.wildberries.ru/brands/playtoday</t>
        </is>
      </c>
      <c r="F16" s="16" t="n">
        <v>1799</v>
      </c>
      <c r="G16" s="15" t="n">
        <v>2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Шорты летние</t>
        </is>
      </c>
      <c r="C17" s="15" t="inlineStr">
        <is>
          <t>—</t>
        </is>
      </c>
      <c r="D17" s="15" t="n">
        <v>2</v>
      </c>
      <c r="E17" s="17" t="inlineStr">
        <is>
          <t>https://www.wildberries.ru/brands/playtoday</t>
        </is>
      </c>
      <c r="F17" s="16" t="n">
        <v>899</v>
      </c>
      <c r="G17" s="15" t="n">
        <v>1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9">
      <c r="A19" s="10" t="inlineStr">
        <is>
          <t>Итого: Одежда второго слоя</t>
        </is>
      </c>
      <c r="B19" s="10" t="n"/>
      <c r="C19" s="10" t="n"/>
      <c r="D19" s="10" t="n"/>
      <c r="E19" s="10" t="n"/>
      <c r="F19" s="10" t="n"/>
      <c r="G19" s="10" t="n"/>
      <c r="H19" s="11">
        <f>H5+H6+H7+H8+H9+H10+H11+H12+H13+H14+H15+H16+H17</f>
        <v/>
      </c>
      <c r="I19" s="11">
        <f>IF(H19=0,0,H19/12)</f>
        <v/>
      </c>
    </row>
  </sheetData>
  <mergeCells count="3">
    <mergeCell ref="A1:I1"/>
    <mergeCell ref="A19:G19"/>
    <mergeCell ref="A2:I2"/>
  </mergeCells>
  <dataValidations count="1">
    <dataValidation sqref="C5:C17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inlineStr">
        <is>
          <t>—</t>
        </is>
      </c>
      <c r="D5" s="15" t="n">
        <v>1</v>
      </c>
      <c r="E5" s="17" t="inlineStr">
        <is>
          <t>https://www.detmir.ru/search/results/?qt=%D0%B2%D0%B8%D0%BB%D0%BA%D0%B0%20%D0%B4%D0%B5%D1%82%D1%81%D0%BA%D0%B0%D1%8F</t>
        </is>
      </c>
      <c r="F5" s="16" t="n">
        <v>49</v>
      </c>
      <c r="G5" s="15" t="n">
        <v>3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inlineStr">
        <is>
          <t>—</t>
        </is>
      </c>
      <c r="D6" s="15" t="n">
        <v>12</v>
      </c>
      <c r="E6" s="17" t="inlineStr">
        <is>
          <t>https://magnit.ru/catalog?q=%D0%B2%D0%BB%D0%B0%D0%B6%D0%BD%D1%8B%D0%B5%20%D1%81%D0%B0%D0%BB%D1%84%D0%B5%D1%82%D0%BA%D0%B8</t>
        </is>
      </c>
      <c r="F6" s="16" t="n">
        <v>89</v>
      </c>
      <c r="G6" s="15" t="n">
        <v>1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inlineStr">
        <is>
          <t>—</t>
        </is>
      </c>
      <c r="D7" s="15" t="n">
        <v>6</v>
      </c>
      <c r="E7" s="17" t="inlineStr">
        <is>
          <t>https://www.okeydostavka.ru/webapp/wcs/stores/servlet/SearchDisplay?searchTerm=R.O.C.S.</t>
        </is>
      </c>
      <c r="F7" s="16" t="n">
        <v>399</v>
      </c>
      <c r="G7" s="15" t="n">
        <v>1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inlineStr">
        <is>
          <t>—</t>
        </is>
      </c>
      <c r="D8" s="15" t="n">
        <v>2</v>
      </c>
      <c r="E8" s="17" t="inlineStr">
        <is>
          <t>https://www.detmir.ru/search/results/?qt=%D0%B7%D1%83%D0%B1%D0%BD%D0%B0%D1%8F%20%D1%89%D0%B5%D1%82%D0%BA%D0%B0%20%D0%B4%D0%B5%D1%82%D1%81%D0%BA%D0%B0%D1%8F</t>
        </is>
      </c>
      <c r="F8" s="16" t="n">
        <v>149</v>
      </c>
      <c r="G8" s="15" t="n">
        <v>1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inlineStr">
        <is>
          <t>—</t>
        </is>
      </c>
      <c r="D9" s="15" t="n">
        <v>1</v>
      </c>
      <c r="E9" s="17" t="inlineStr">
        <is>
          <t>https://www.detmir.ru/search/results/?qt=%D0%BB%D0%BE%D0%B6%D0%BA%D0%B0%20%D0%B4%D0%B5%D1%82%D1%81%D0%BA%D0%B0%D1%8F</t>
        </is>
      </c>
      <c r="F9" s="16" t="n">
        <v>49</v>
      </c>
      <c r="G9" s="15" t="n">
        <v>3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inlineStr">
        <is>
          <t>—</t>
        </is>
      </c>
      <c r="D10" s="15" t="n">
        <v>1</v>
      </c>
      <c r="E10" s="17" t="inlineStr">
        <is>
          <t>https://www.detmir.ru/search/results/?qt=%D0%BB%D0%BE%D0%B6%D0%BA%D0%B0%20%D1%87%D0%B0%D0%B9%D0%BD%D0%B0%D1%8F%20%D0%B4%D0%B5%D1%82%D1%81%D0%BA%D0%B0%D1%8F</t>
        </is>
      </c>
      <c r="F10" s="16" t="n">
        <v>39</v>
      </c>
      <c r="G10" s="15" t="n">
        <v>3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inlineStr">
        <is>
          <t>—</t>
        </is>
      </c>
      <c r="D11" s="15" t="n">
        <v>1</v>
      </c>
      <c r="E11" s="17" t="inlineStr">
        <is>
          <t>https://magnit.ru/catalog?q=%D0%BC%D0%BE%D0%BB%D0%BE%D1%87%D0%BA%D0%BE%20%D0%B4%D0%BB%D1%8F%20%D1%82%D0%B5%D0%BB%D0%B0%20%D0%B4%D0%B5%D1%82%D1%81%D0%BA%D0%BE%D0%B5</t>
        </is>
      </c>
      <c r="F11" s="16" t="n">
        <v>299</v>
      </c>
      <c r="G11" s="15" t="n">
        <v>1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inlineStr">
        <is>
          <t>—</t>
        </is>
      </c>
      <c r="D12" s="15" t="n">
        <v>1</v>
      </c>
      <c r="E12" s="17" t="inlineStr">
        <is>
          <t>https://www.detmir.ru/search/results/?qt=%D0%BC%D0%BE%D1%87%D0%B0%D0%BB%D0%BA%D0%B0</t>
        </is>
      </c>
      <c r="F12" s="16" t="n">
        <v>199</v>
      </c>
      <c r="G12" s="15" t="n">
        <v>1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inlineStr">
        <is>
          <t>—</t>
        </is>
      </c>
      <c r="D13" s="15" t="n">
        <v>1</v>
      </c>
      <c r="E13" s="17" t="inlineStr">
        <is>
          <t>https://www.detmir.ru/search/results/?qt=%D0%BF%D0%BE%D0%BB%D0%BE%D1%82%D0%B5%D0%BD%D1%86%D0%B5%20%D0%B1%D0%B0%D0%BD%D0%BD%D0%BE%D0%B5</t>
        </is>
      </c>
      <c r="F13" s="16" t="n">
        <v>699</v>
      </c>
      <c r="G13" s="15" t="n">
        <v>1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inlineStr">
        <is>
          <t>—</t>
        </is>
      </c>
      <c r="D14" s="15" t="n">
        <v>2</v>
      </c>
      <c r="E14" s="17" t="inlineStr">
        <is>
          <t>https://www.detmir.ru/search/results/?qt=%D0%BF%D0%BE%D0%BB%D0%BE%D1%82%D0%B5%D0%BD%D1%86%D0%B5%20%D0%B4%D0%BB%D1%8F%20%D0%BB%D0%B8%D1%86%D0%B0</t>
        </is>
      </c>
      <c r="F14" s="16" t="n">
        <v>349</v>
      </c>
      <c r="G14" s="15" t="n">
        <v>1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inlineStr">
        <is>
          <t>—</t>
        </is>
      </c>
      <c r="D15" s="15" t="n">
        <v>1</v>
      </c>
      <c r="E15" s="17" t="inlineStr">
        <is>
          <t>https://www.detmir.ru/search/results/?qt=%D1%82%D0%B0%D1%80%D0%B5%D0%BB%D0%BA%D0%B0%20%D0%B4%D0%B5%D1%82%D1%81%D0%BA%D0%B0%D1%8F</t>
        </is>
      </c>
      <c r="F15" s="16" t="n">
        <v>149</v>
      </c>
      <c r="G15" s="15" t="n">
        <v>3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inlineStr">
        <is>
          <t>—</t>
        </is>
      </c>
      <c r="D16" s="15" t="n">
        <v>1</v>
      </c>
      <c r="E16" s="17" t="inlineStr">
        <is>
          <t>https://www.detmir.ru/search/results/?qt=%D1%82%D0%B0%D1%80%D0%B5%D0%BB%D0%BA%D0%B0%20%D0%B4%D0%B5%D1%82%D1%81%D0%BA%D0%B0%D1%8F</t>
        </is>
      </c>
      <c r="F16" s="16" t="n">
        <v>149</v>
      </c>
      <c r="G16" s="15" t="n">
        <v>3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inlineStr">
        <is>
          <t>—</t>
        </is>
      </c>
      <c r="D17" s="15" t="n">
        <v>36</v>
      </c>
      <c r="E17" s="17" t="inlineStr">
        <is>
          <t>https://magnit.ru/product/1000044580-tualetnaya_bumaga_soft_luxe_4_rulona</t>
        </is>
      </c>
      <c r="F17" s="16" t="n">
        <v>30</v>
      </c>
      <c r="G17" s="15" t="n">
        <v>1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inlineStr">
        <is>
          <t>—</t>
        </is>
      </c>
      <c r="D18" s="15" t="n">
        <v>1</v>
      </c>
      <c r="E18" s="17" t="inlineStr">
        <is>
          <t>https://www.detmir.ru/search/results/?qt=%D0%BA%D1%80%D1%83%D0%B6%D0%BA%D0%B0%20%D0%B4%D0%B5%D1%82%D1%81%D0%BA%D0%B0%D1%8F</t>
        </is>
      </c>
      <c r="F18" s="16" t="n">
        <v>199</v>
      </c>
      <c r="G18" s="15" t="n">
        <v>3</v>
      </c>
      <c r="H18" s="8">
        <f>IF(ISNUMBER(G18),IF(G18=0,0,F18*IF(D18=0,1,D18)/G18),IF(G18="неделя",F18*IF(D18=0,1,D18)*52,IF(G18="месяц",F18*IF(D18=0,1,D18)*12,F18*IF(D18=0,1,D18))))</f>
        <v/>
      </c>
      <c r="I18" s="8">
        <f>IF(H18=0,0,H18/12)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inlineStr">
        <is>
          <t>—</t>
        </is>
      </c>
      <c r="D19" s="15" t="n">
        <v>6</v>
      </c>
      <c r="E19" s="17" t="inlineStr">
        <is>
          <t>https://www.detmir.ru/search/results/?qt=%D1%88%D0%B0%D0%BC%D0%BF%D1%83%D0%BD%D1%8C%20%D0%B4%D0%B5%D1%82%D1%81%D0%BA%D0%B8%D0%B9</t>
        </is>
      </c>
      <c r="F19" s="16" t="n">
        <v>199</v>
      </c>
      <c r="G19" s="15" t="n">
        <v>1</v>
      </c>
      <c r="H19" s="8">
        <f>IF(ISNUMBER(G19),IF(G19=0,0,F19*IF(D19=0,1,D19)/G19),IF(G19="неделя",F19*IF(D19=0,1,D19)*52,IF(G19="месяц",F19*IF(D19=0,1,D19)*12,F19*IF(D19=0,1,D19))))</f>
        <v/>
      </c>
      <c r="I19" s="8">
        <f>IF(H19=0,0,H19/12)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inlineStr">
        <is>
          <t>—</t>
        </is>
      </c>
      <c r="D20" s="15" t="n">
        <v>1</v>
      </c>
      <c r="E20" s="17" t="inlineStr">
        <is>
          <t>https://www.detmir.ru/search/results/?qt=%D0%B1%D1%83%D1%82%D1%8B%D0%BB%D0%BA%D0%B0</t>
        </is>
      </c>
      <c r="F20" s="16" t="n">
        <v>499</v>
      </c>
      <c r="G20" s="15" t="n">
        <v>2</v>
      </c>
      <c r="H20" s="8">
        <f>IF(ISNUMBER(G20),IF(G20=0,0,F20*IF(D20=0,1,D20)/G20),IF(G20="неделя",F20*IF(D20=0,1,D20)*52,IF(G20="месяц",F20*IF(D20=0,1,D20)*12,F20*IF(D20=0,1,D20))))</f>
        <v/>
      </c>
      <c r="I20" s="8">
        <f>IF(H20=0,0,H20/12)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0" t="n"/>
      <c r="H22" s="11">
        <f>H5+H6+H7+H8+H9+H10+H11+H12+H13+H14+H15+H16+H17+H18+H19+H20</f>
        <v/>
      </c>
      <c r="I22" s="11">
        <f>IF(H22=0,0,H22/12)</f>
        <v/>
      </c>
    </row>
  </sheetData>
  <mergeCells count="3">
    <mergeCell ref="A1:I1"/>
    <mergeCell ref="A22:G22"/>
    <mergeCell ref="A2:I2"/>
  </mergeCells>
  <dataValidations count="1">
    <dataValidation sqref="C5:C20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Период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inlineStr">
        <is>
          <t>—</t>
        </is>
      </c>
      <c r="D5" s="15" t="n">
        <v>1</v>
      </c>
      <c r="E5" s="17" t="inlineStr">
        <is>
          <t>https://magnit.ru/</t>
        </is>
      </c>
      <c r="F5" s="16" t="n">
        <v>20000</v>
      </c>
      <c r="G5" s="15" t="inlineStr">
        <is>
          <t>месяц</t>
        </is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0" t="n"/>
      <c r="H7" s="11">
        <f>H5</f>
        <v/>
      </c>
      <c r="I7" s="11">
        <f>IF(H7=0,0,H7/12)</f>
        <v/>
      </c>
    </row>
  </sheetData>
  <mergeCells count="3">
    <mergeCell ref="A1:I1"/>
    <mergeCell ref="A2:I2"/>
    <mergeCell ref="A7:G7"/>
  </mergeCells>
  <dataValidations count="2">
    <dataValidation sqref="G5" showDropDown="0" showInputMessage="0" showErrorMessage="0" allowBlank="0" type="list">
      <formula1>"неделя,месяц,год"</formula1>
    </dataValidation>
    <dataValidation sqref="C5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inlineStr">
        <is>
          <t>—</t>
        </is>
      </c>
      <c r="D5" s="15" t="n">
        <v>1</v>
      </c>
      <c r="E5" s="17" t="inlineStr">
        <is>
          <t>https://rocky-shop.ru/ekipirovka-dlya-edinoborstv/kurtka-dlya-sambo-green-hill-junior-rostovki-160-190-sm-10032.html</t>
        </is>
      </c>
      <c r="F5" s="16" t="n">
        <v>3690</v>
      </c>
      <c r="G5" s="15" t="n">
        <v>2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inlineStr">
        <is>
          <t>—</t>
        </is>
      </c>
      <c r="D6" s="15" t="n">
        <v>1</v>
      </c>
      <c r="E6" s="17" t="inlineStr">
        <is>
          <t>https://www.detmir.ru/search/results/?qt=%D0%B1%D1%83%D1%81%D1%82%D0%B5%D1%80%20%D0%B0%D0%B2%D1%82%D0%BE%D0%BC%D0%BE%D0%B1%D0%B8%D0%BB%D1%8C%D0%BD%D1%8B%D0%B9</t>
        </is>
      </c>
      <c r="F6" s="16" t="n">
        <v>1999</v>
      </c>
      <c r="G6" s="15" t="n">
        <v>7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inlineStr">
        <is>
          <t>—</t>
        </is>
      </c>
      <c r="D7" s="15" t="n">
        <v>1</v>
      </c>
      <c r="E7" s="17" t="inlineStr">
        <is>
          <t>https://market.yandex.ru/search?text=%D0%B2%D0%B5%D0%BB%D0%BE%D1%81%D0%B8%D0%BF%D0%B5%D0%B4%20Stern%2024</t>
        </is>
      </c>
      <c r="F7" s="16" t="n">
        <v>27999</v>
      </c>
      <c r="G7" s="15" t="n">
        <v>5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Гантель</t>
        </is>
      </c>
      <c r="C8" s="15" t="inlineStr">
        <is>
          <t>—</t>
        </is>
      </c>
      <c r="D8" s="15" t="n">
        <v>2</v>
      </c>
      <c r="E8" s="17" t="inlineStr">
        <is>
          <t>https://www.detmir.ru/search/results/?qt=%D0%B3%D0%B0%D0%BD%D1%82%D0%B5%D0%BB%D0%B8%20%D0%B4%D0%B5%D1%82%D1%81%D0%BA%D0%B8%D0%B5</t>
        </is>
      </c>
      <c r="F8" s="16" t="n">
        <v>365</v>
      </c>
      <c r="G8" s="15" t="n">
        <v>3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inlineStr">
        <is>
          <t>—</t>
        </is>
      </c>
      <c r="D9" s="15" t="n">
        <v>1</v>
      </c>
      <c r="E9" s="17" t="inlineStr">
        <is>
          <t>https://karate.ru/shop/catalog/407-perchatki-mma-sinie-kozhzamenitel-combat-sambo-green-hill/</t>
        </is>
      </c>
      <c r="F9" s="16" t="n">
        <v>2190</v>
      </c>
      <c r="G9" s="15" t="n">
        <v>2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inlineStr">
        <is>
          <t>—</t>
        </is>
      </c>
      <c r="D10" s="15" t="n">
        <v>1</v>
      </c>
      <c r="E10" s="17" t="inlineStr">
        <is>
          <t>https://www.detmir.ru/search/results/?qt=%D0%BA%D0%BE%D0%BD%D1%8C%D0%BA%D0%B8</t>
        </is>
      </c>
      <c r="F10" s="16" t="n">
        <v>2999</v>
      </c>
      <c r="G10" s="15" t="n">
        <v>1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Ласты</t>
        </is>
      </c>
      <c r="C11" s="15" t="inlineStr">
        <is>
          <t>—</t>
        </is>
      </c>
      <c r="D11" s="15" t="n">
        <v>1</v>
      </c>
      <c r="E11" s="17" t="inlineStr">
        <is>
          <t>https://www.detmir.ru/search/results/?qt=%D0%BB%D0%B0%D1%81%D1%82%D1%8B%20%D0%B4%D0%B5%D1%82%D1%81%D0%BA%D0%B8%D0%B5</t>
        </is>
      </c>
      <c r="F11" s="16" t="n">
        <v>999</v>
      </c>
      <c r="G11" s="15" t="n">
        <v>2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inlineStr">
        <is>
          <t>—</t>
        </is>
      </c>
      <c r="D12" s="15" t="n">
        <v>1</v>
      </c>
      <c r="E12" s="17" t="inlineStr">
        <is>
          <t>https://www.detmir.ru/search/results/?qt=%D0%BC%D1%8F%D1%87%20%D1%84%D1%83%D1%82%D0%B1%D0%BE%D0%BB%D1%8C%D0%BD%D1%8B%D0%B9</t>
        </is>
      </c>
      <c r="F12" s="16" t="n">
        <v>799</v>
      </c>
      <c r="G12" s="15" t="n">
        <v>2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inlineStr">
        <is>
          <t>—</t>
        </is>
      </c>
      <c r="D13" s="15" t="n">
        <v>1</v>
      </c>
      <c r="E13" s="17" t="inlineStr">
        <is>
          <t>https://www.detmir.ru/search/results/?qt=%D0%BD%D0%B0%D0%B4%D1%83%D0%B2%D0%BD%D0%BE%D0%B9%20%D0%BA%D1%80%D1%83%D0%B3</t>
        </is>
      </c>
      <c r="F13" s="16" t="n">
        <v>599</v>
      </c>
      <c r="G13" s="15" t="n">
        <v>2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inlineStr">
        <is>
          <t>—</t>
        </is>
      </c>
      <c r="D14" s="15" t="n">
        <v>1</v>
      </c>
      <c r="E14" s="17" t="inlineStr">
        <is>
          <t>https://dantesport.ru/product_info.php?products_id=1207</t>
        </is>
      </c>
      <c r="F14" s="16" t="n">
        <v>2990</v>
      </c>
      <c r="G14" s="15" t="n">
        <v>2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inlineStr">
        <is>
          <t>—</t>
        </is>
      </c>
      <c r="D15" s="15" t="n">
        <v>1</v>
      </c>
      <c r="E15" s="17" t="inlineStr">
        <is>
          <t>https://www.detmir.ru/catalog/index/name/plavki/</t>
        </is>
      </c>
      <c r="F15" s="16" t="n">
        <v>599</v>
      </c>
      <c r="G15" s="15" t="n">
        <v>1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inlineStr">
        <is>
          <t>—</t>
        </is>
      </c>
      <c r="D16" s="15" t="n">
        <v>1</v>
      </c>
      <c r="E16" s="17" t="inlineStr">
        <is>
          <t>https://www.detmir.ru/search/results/?qt=%D0%BF%D0%BE%D0%BB%D0%BE%D1%82%D0%B5%D0%BD%D1%86%D0%B5%20%D0%BF%D0%BB%D0%B0%D0%B2%D0%B0%D0%BD%D0%B8%D0%B5</t>
        </is>
      </c>
      <c r="F16" s="16" t="n">
        <v>499</v>
      </c>
      <c r="G16" s="15" t="n">
        <v>1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inlineStr">
        <is>
          <t>—</t>
        </is>
      </c>
      <c r="D17" s="15" t="n">
        <v>1</v>
      </c>
      <c r="E17" s="17" t="inlineStr">
        <is>
          <t>https://www.detmir.ru/search/results/?qt=%D1%81%D0%BA%D0%B0%D0%BA%D0%B0%D0%BB%D0%BA%D0%B0</t>
        </is>
      </c>
      <c r="F17" s="16" t="n">
        <v>399</v>
      </c>
      <c r="G17" s="15" t="n">
        <v>3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8" ht="20" customHeight="1">
      <c r="A18" s="14" t="n">
        <v>14</v>
      </c>
      <c r="B18" s="13" t="inlineStr">
        <is>
          <t>Спортивная форма школьная</t>
        </is>
      </c>
      <c r="C18" s="15" t="inlineStr">
        <is>
          <t>в школу</t>
        </is>
      </c>
      <c r="D18" s="15" t="n">
        <v>1</v>
      </c>
      <c r="E18" s="17" t="inlineStr">
        <is>
          <t>https://www.detmir.ru/product/index/id/7069266/</t>
        </is>
      </c>
      <c r="F18" s="16" t="n">
        <v>1999</v>
      </c>
      <c r="G18" s="15" t="n">
        <v>2</v>
      </c>
      <c r="H18" s="8">
        <f>IF(ISNUMBER(G18),IF(G18=0,0,F18*IF(D18=0,1,D18)/G18),IF(G18="неделя",F18*IF(D18=0,1,D18)*52,IF(G18="месяц",F18*IF(D18=0,1,D18)*12,F18*IF(D18=0,1,D18))))</f>
        <v/>
      </c>
      <c r="I18" s="8">
        <f>IF(H18=0,0,H18/12)</f>
        <v/>
      </c>
    </row>
    <row r="19" ht="20" customHeight="1">
      <c r="A19" s="14" t="n">
        <v>15</v>
      </c>
      <c r="B19" s="13" t="inlineStr">
        <is>
          <t>Стул для кемпинга</t>
        </is>
      </c>
      <c r="C19" s="15" t="inlineStr">
        <is>
          <t>—</t>
        </is>
      </c>
      <c r="D19" s="15" t="n">
        <v>1</v>
      </c>
      <c r="E19" s="17" t="inlineStr">
        <is>
          <t>https://leroymerlin.ru/search/?q=%D1%81%D1%82%D1%83%D0%BB%20%D0%BA%D0%B5%D0%BC%D0%BF%D0%B8%D0%BD%D0%B3</t>
        </is>
      </c>
      <c r="F19" s="16" t="n">
        <v>999</v>
      </c>
      <c r="G19" s="15" t="n">
        <v>5</v>
      </c>
      <c r="H19" s="8">
        <f>IF(ISNUMBER(G19),IF(G19=0,0,F19*IF(D19=0,1,D19)/G19),IF(G19="неделя",F19*IF(D19=0,1,D19)*52,IF(G19="месяц",F19*IF(D19=0,1,D19)*12,F19*IF(D19=0,1,D19))))</f>
        <v/>
      </c>
      <c r="I19" s="8">
        <f>IF(H19=0,0,H19/12)</f>
        <v/>
      </c>
    </row>
    <row r="20" ht="20" customHeight="1">
      <c r="A20" s="14" t="n">
        <v>16</v>
      </c>
      <c r="B20" s="13" t="inlineStr">
        <is>
          <t>Шорты для самбо</t>
        </is>
      </c>
      <c r="C20" s="15" t="inlineStr">
        <is>
          <t>—</t>
        </is>
      </c>
      <c r="D20" s="15" t="n">
        <v>1</v>
      </c>
      <c r="E20" s="17" t="inlineStr">
        <is>
          <t>https://rocky-shop.ru/ekipirovka-dlya-edinoborstv/detskie-bortscovki-dlya-sambo-green-hill-triumf-odobreny-fias-27458.html</t>
        </is>
      </c>
      <c r="F20" s="16" t="n">
        <v>1990</v>
      </c>
      <c r="G20" s="15" t="n">
        <v>2</v>
      </c>
      <c r="H20" s="8">
        <f>IF(ISNUMBER(G20),IF(G20=0,0,F20*IF(D20=0,1,D20)/G20),IF(G20="неделя",F20*IF(D20=0,1,D20)*52,IF(G20="месяц",F20*IF(D20=0,1,D20)*12,F20*IF(D20=0,1,D20))))</f>
        <v/>
      </c>
      <c r="I20" s="8">
        <f>IF(H20=0,0,H20/12)</f>
        <v/>
      </c>
    </row>
    <row r="22">
      <c r="A22" s="10" t="inlineStr">
        <is>
          <t>Итого: Спорт и досуг</t>
        </is>
      </c>
      <c r="B22" s="10" t="n"/>
      <c r="C22" s="10" t="n"/>
      <c r="D22" s="10" t="n"/>
      <c r="E22" s="10" t="n"/>
      <c r="F22" s="10" t="n"/>
      <c r="G22" s="10" t="n"/>
      <c r="H22" s="11">
        <f>H5+H6+H7+H8+H9+H10+H11+H12+H13+H14+H15+H16+H17+H18+H19+H20</f>
        <v/>
      </c>
      <c r="I22" s="11">
        <f>IF(H22=0,0,H22/12)</f>
        <v/>
      </c>
    </row>
  </sheetData>
  <mergeCells count="3">
    <mergeCell ref="A1:I1"/>
    <mergeCell ref="A22:G22"/>
    <mergeCell ref="A2:I2"/>
  </mergeCells>
  <dataValidations count="1">
    <dataValidation sqref="C5:C20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Школьные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Альбом для рисования</t>
        </is>
      </c>
      <c r="C5" s="15" t="inlineStr">
        <is>
          <t>в школу</t>
        </is>
      </c>
      <c r="D5" s="15" t="n">
        <v>1</v>
      </c>
      <c r="E5" s="17" t="inlineStr">
        <is>
          <t>https://www.detmir.ru/search/results/?qt=%D0%B0%D0%BB%D1%8C%D0%B1%D0%BE%D0%BC</t>
        </is>
      </c>
      <c r="F5" s="16" t="n">
        <v>89</v>
      </c>
      <c r="G5" s="15" t="n">
        <v>1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Готовальня</t>
        </is>
      </c>
      <c r="C6" s="15" t="inlineStr">
        <is>
          <t>в школу</t>
        </is>
      </c>
      <c r="D6" s="15" t="n">
        <v>1</v>
      </c>
      <c r="E6" s="17" t="inlineStr">
        <is>
          <t>https://www.detmir.ru/catalog/index/name/cyrkuli/tip_cherchenie-gotovalnya/</t>
        </is>
      </c>
      <c r="F6" s="16" t="n">
        <v>349</v>
      </c>
      <c r="G6" s="15" t="n">
        <v>1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Гуашь 12 цв.</t>
        </is>
      </c>
      <c r="C7" s="15" t="inlineStr">
        <is>
          <t>в школу</t>
        </is>
      </c>
      <c r="D7" s="15" t="n">
        <v>1</v>
      </c>
      <c r="E7" s="17" t="inlineStr">
        <is>
          <t>https://www.detmir.ru/product/index/id/6430833/</t>
        </is>
      </c>
      <c r="F7" s="16" t="n">
        <v>239</v>
      </c>
      <c r="G7" s="15" t="n">
        <v>1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Дневник</t>
        </is>
      </c>
      <c r="C8" s="15" t="inlineStr">
        <is>
          <t>в школу</t>
        </is>
      </c>
      <c r="D8" s="15" t="n">
        <v>1</v>
      </c>
      <c r="E8" s="17" t="inlineStr">
        <is>
          <t>https://www.detmir.ru/product/index/id/6462321/</t>
        </is>
      </c>
      <c r="F8" s="16" t="n">
        <v>329</v>
      </c>
      <c r="G8" s="15" t="n">
        <v>1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Доска для пластилина</t>
        </is>
      </c>
      <c r="C9" s="15" t="inlineStr">
        <is>
          <t>в школу</t>
        </is>
      </c>
      <c r="D9" s="15" t="n">
        <v>1</v>
      </c>
      <c r="E9" s="17" t="inlineStr">
        <is>
          <t>https://www.detmir.ru/search/results/?qt=%D0%B4%D0%BE%D1%81%D0%BA%D0%B0%20%D0%B4%D0%BB%D1%8F%20%D0%BB%D0%B5%D0%BF%D0%BA%D0%B8</t>
        </is>
      </c>
      <c r="F9" s="16" t="n">
        <v>49</v>
      </c>
      <c r="G9" s="15" t="n">
        <v>1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Закладки</t>
        </is>
      </c>
      <c r="C10" s="15" t="inlineStr">
        <is>
          <t>в школу</t>
        </is>
      </c>
      <c r="D10" s="15" t="n">
        <v>3</v>
      </c>
      <c r="E10" s="17" t="inlineStr">
        <is>
          <t>https://www.detmir.ru/search/results/?qt=%D0%B7%D0%B0%D0%BA%D0%BB%D0%B0%D0%B4%D0%BA%D0%B8%20%D0%B4%D0%BB%D1%8F%20%D0%BA%D0%BD%D0%B8%D0%B3</t>
        </is>
      </c>
      <c r="F10" s="16" t="n">
        <v>39</v>
      </c>
      <c r="G10" s="15" t="n">
        <v>1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Карандаш простой HB</t>
        </is>
      </c>
      <c r="C11" s="15" t="inlineStr">
        <is>
          <t>в школу</t>
        </is>
      </c>
      <c r="D11" s="15" t="n">
        <v>10</v>
      </c>
      <c r="E11" s="17" t="inlineStr">
        <is>
          <t>https://www.detmir.ru/search/results/?qt=%D0%BA%D0%B0%D1%80%D0%B0%D0%BD%D0%B4%D0%B0%D1%88%20HB</t>
        </is>
      </c>
      <c r="F11" s="16" t="n">
        <v>20</v>
      </c>
      <c r="G11" s="15" t="n">
        <v>1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Карандаши цветные 36</t>
        </is>
      </c>
      <c r="C12" s="15" t="inlineStr">
        <is>
          <t>в школу</t>
        </is>
      </c>
      <c r="D12" s="15" t="n">
        <v>2</v>
      </c>
      <c r="E12" s="17" t="inlineStr">
        <is>
          <t>https://www.detmir.ru/product/index/id/6016009/</t>
        </is>
      </c>
      <c r="F12" s="16" t="n">
        <v>328</v>
      </c>
      <c r="G12" s="15" t="n">
        <v>1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Картон цветной</t>
        </is>
      </c>
      <c r="C13" s="15" t="inlineStr">
        <is>
          <t>в школу</t>
        </is>
      </c>
      <c r="D13" s="15" t="n">
        <v>1</v>
      </c>
      <c r="E13" s="17" t="inlineStr">
        <is>
          <t>https://www.detmir.ru/search/results/?qt=%D0%BA%D0%B0%D1%80%D1%82%D0%BE%D0%BD%20%D1%86%D0%B2%D0%B5%D1%82%D0%BD%D0%BE%D0%B9</t>
        </is>
      </c>
      <c r="F13" s="16" t="n">
        <v>89</v>
      </c>
      <c r="G13" s="15" t="n">
        <v>1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Клей ПВА</t>
        </is>
      </c>
      <c r="C14" s="15" t="inlineStr">
        <is>
          <t>в школу</t>
        </is>
      </c>
      <c r="D14" s="15" t="n">
        <v>2</v>
      </c>
      <c r="E14" s="17" t="inlineStr">
        <is>
          <t>https://www.detmir.ru/search/results/?qt=%D0%BA%D0%BB%D0%B5%D0%B9%20%D0%9F%D0%92%D0%90</t>
        </is>
      </c>
      <c r="F14" s="16" t="n">
        <v>79</v>
      </c>
      <c r="G14" s="15" t="n">
        <v>1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Клей-карандаш</t>
        </is>
      </c>
      <c r="C15" s="15" t="inlineStr">
        <is>
          <t>в школу</t>
        </is>
      </c>
      <c r="D15" s="15" t="n">
        <v>2</v>
      </c>
      <c r="E15" s="17" t="inlineStr">
        <is>
          <t>https://www.detmir.ru/search/results/?qt=%D0%BA%D0%BB%D0%B5%D0%B9-%D0%BA%D0%B0%D1%80%D0%B0%D0%BD%D0%B4%D0%B0%D1%88</t>
        </is>
      </c>
      <c r="F15" s="16" t="n">
        <v>59</v>
      </c>
      <c r="G15" s="15" t="n">
        <v>1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Корректор</t>
        </is>
      </c>
      <c r="C16" s="15" t="inlineStr">
        <is>
          <t>в школу</t>
        </is>
      </c>
      <c r="D16" s="15" t="n">
        <v>2</v>
      </c>
      <c r="E16" s="17" t="inlineStr">
        <is>
          <t>https://www.detmir.ru/search/results/?qt=%D0%BA%D0%BE%D1%80%D1%80%D0%B5%D0%BA%D1%82%D0%BE%D1%80%20%D1%88%D0%BA%D0%BE%D0%BB%D1%8C%D0%BD%D1%8B%D0%B9</t>
        </is>
      </c>
      <c r="F16" s="16" t="n">
        <v>59</v>
      </c>
      <c r="G16" s="15" t="n">
        <v>1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Ластик</t>
        </is>
      </c>
      <c r="C17" s="15" t="inlineStr">
        <is>
          <t>в школу</t>
        </is>
      </c>
      <c r="D17" s="15" t="n">
        <v>3</v>
      </c>
      <c r="E17" s="17" t="inlineStr">
        <is>
          <t>https://www.detmir.ru/search/results/?qt=%D0%BB%D0%B0%D1%81%D1%82%D0%B8%D0%BA</t>
        </is>
      </c>
      <c r="F17" s="16" t="n">
        <v>39</v>
      </c>
      <c r="G17" s="15" t="n">
        <v>1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8" ht="20" customHeight="1">
      <c r="A18" s="14" t="n">
        <v>14</v>
      </c>
      <c r="B18" s="13" t="inlineStr">
        <is>
          <t>Линейка</t>
        </is>
      </c>
      <c r="C18" s="15" t="inlineStr">
        <is>
          <t>в школу</t>
        </is>
      </c>
      <c r="D18" s="15" t="n">
        <v>1</v>
      </c>
      <c r="E18" s="17" t="inlineStr">
        <is>
          <t>https://www.detmir.ru/search/results/?qt=%D0%BB%D0%B8%D0%BD%D0%B5%D0%B9%D0%BA%D0%B0%2020</t>
        </is>
      </c>
      <c r="F18" s="16" t="n">
        <v>39</v>
      </c>
      <c r="G18" s="15" t="n">
        <v>1</v>
      </c>
      <c r="H18" s="8">
        <f>IF(ISNUMBER(G18),IF(G18=0,0,F18*IF(D18=0,1,D18)/G18),IF(G18="неделя",F18*IF(D18=0,1,D18)*52,IF(G18="месяц",F18*IF(D18=0,1,D18)*12,F18*IF(D18=0,1,D18))))</f>
        <v/>
      </c>
      <c r="I18" s="8">
        <f>IF(H18=0,0,H18/12)</f>
        <v/>
      </c>
    </row>
    <row r="19" ht="20" customHeight="1">
      <c r="A19" s="14" t="n">
        <v>15</v>
      </c>
      <c r="B19" s="13" t="inlineStr">
        <is>
          <t>Набор кистей</t>
        </is>
      </c>
      <c r="C19" s="15" t="inlineStr">
        <is>
          <t>в школу</t>
        </is>
      </c>
      <c r="D19" s="15" t="n">
        <v>1</v>
      </c>
      <c r="E19" s="17" t="inlineStr">
        <is>
          <t>https://www.detmir.ru/search/results/?qt=%D0%BA%D0%B8%D1%81%D1%82%D0%B8</t>
        </is>
      </c>
      <c r="F19" s="16" t="n">
        <v>99</v>
      </c>
      <c r="G19" s="15" t="n">
        <v>1</v>
      </c>
      <c r="H19" s="8">
        <f>IF(ISNUMBER(G19),IF(G19=0,0,F19*IF(D19=0,1,D19)/G19),IF(G19="неделя",F19*IF(D19=0,1,D19)*52,IF(G19="месяц",F19*IF(D19=0,1,D19)*12,F19*IF(D19=0,1,D19))))</f>
        <v/>
      </c>
      <c r="I19" s="8">
        <f>IF(H19=0,0,H19/12)</f>
        <v/>
      </c>
    </row>
    <row r="20" ht="20" customHeight="1">
      <c r="A20" s="14" t="n">
        <v>16</v>
      </c>
      <c r="B20" s="13" t="inlineStr">
        <is>
          <t>Набор обложек</t>
        </is>
      </c>
      <c r="C20" s="15" t="inlineStr">
        <is>
          <t>в школу</t>
        </is>
      </c>
      <c r="D20" s="15" t="n">
        <v>2</v>
      </c>
      <c r="E20" s="17" t="inlineStr">
        <is>
          <t>https://www.detmir.ru/product/index/id/6724733/</t>
        </is>
      </c>
      <c r="F20" s="16" t="n">
        <v>179</v>
      </c>
      <c r="G20" s="15" t="n">
        <v>1</v>
      </c>
      <c r="H20" s="8">
        <f>IF(ISNUMBER(G20),IF(G20=0,0,F20*IF(D20=0,1,D20)/G20),IF(G20="неделя",F20*IF(D20=0,1,D20)*52,IF(G20="месяц",F20*IF(D20=0,1,D20)*12,F20*IF(D20=0,1,D20))))</f>
        <v/>
      </c>
      <c r="I20" s="8">
        <f>IF(H20=0,0,H20/12)</f>
        <v/>
      </c>
    </row>
    <row r="21" ht="20" customHeight="1">
      <c r="A21" s="14" t="n">
        <v>17</v>
      </c>
      <c r="B21" s="13" t="inlineStr">
        <is>
          <t>Непроливайка</t>
        </is>
      </c>
      <c r="C21" s="15" t="inlineStr">
        <is>
          <t>в школу</t>
        </is>
      </c>
      <c r="D21" s="15" t="n">
        <v>1</v>
      </c>
      <c r="E21" s="17" t="inlineStr">
        <is>
          <t>https://www.detmir.ru/search/results/?qt=%D0%BD%D0%B5%D0%BF%D1%80%D0%BE%D0%BB%D0%B8%D0%B2%D0%B0%D0%B9%D0%BA%D0%B0</t>
        </is>
      </c>
      <c r="F21" s="16" t="n">
        <v>79</v>
      </c>
      <c r="G21" s="15" t="n">
        <v>1</v>
      </c>
      <c r="H21" s="8">
        <f>IF(ISNUMBER(G21),IF(G21=0,0,F21*IF(D21=0,1,D21)/G21),IF(G21="неделя",F21*IF(D21=0,1,D21)*52,IF(G21="месяц",F21*IF(D21=0,1,D21)*12,F21*IF(D21=0,1,D21))))</f>
        <v/>
      </c>
      <c r="I21" s="8">
        <f>IF(H21=0,0,H21/12)</f>
        <v/>
      </c>
    </row>
    <row r="22" ht="20" customHeight="1">
      <c r="A22" s="14" t="n">
        <v>18</v>
      </c>
      <c r="B22" s="13" t="inlineStr">
        <is>
          <t>Ножницы</t>
        </is>
      </c>
      <c r="C22" s="15" t="inlineStr">
        <is>
          <t>в школу</t>
        </is>
      </c>
      <c r="D22" s="15" t="n">
        <v>1</v>
      </c>
      <c r="E22" s="17" t="inlineStr">
        <is>
          <t>https://www.detmir.ru/search/results/?qt=%D0%BD%D0%BE%D0%B6%D0%BD%D0%B8%D1%86%D1%8B%20%D0%B4%D0%B5%D1%82%D1%81%D0%BA%D0%B8%D0%B5</t>
        </is>
      </c>
      <c r="F22" s="16" t="n">
        <v>129</v>
      </c>
      <c r="G22" s="15" t="n">
        <v>1</v>
      </c>
      <c r="H22" s="8">
        <f>IF(ISNUMBER(G22),IF(G22=0,0,F22*IF(D22=0,1,D22)/G22),IF(G22="неделя",F22*IF(D22=0,1,D22)*52,IF(G22="месяц",F22*IF(D22=0,1,D22)*12,F22*IF(D22=0,1,D22))))</f>
        <v/>
      </c>
      <c r="I22" s="8">
        <f>IF(H22=0,0,H22/12)</f>
        <v/>
      </c>
    </row>
    <row r="23" ht="20" customHeight="1">
      <c r="A23" s="14" t="n">
        <v>19</v>
      </c>
      <c r="B23" s="13" t="inlineStr">
        <is>
          <t>Обложка для дневника</t>
        </is>
      </c>
      <c r="C23" s="15" t="inlineStr">
        <is>
          <t>в школу</t>
        </is>
      </c>
      <c r="D23" s="15" t="n">
        <v>1</v>
      </c>
      <c r="E23" s="17" t="inlineStr">
        <is>
          <t>https://www.detmir.ru/product/index/id/6442038/</t>
        </is>
      </c>
      <c r="F23" s="16" t="n">
        <v>49</v>
      </c>
      <c r="G23" s="15" t="n">
        <v>1</v>
      </c>
      <c r="H23" s="8">
        <f>IF(ISNUMBER(G23),IF(G23=0,0,F23*IF(D23=0,1,D23)/G23),IF(G23="неделя",F23*IF(D23=0,1,D23)*52,IF(G23="месяц",F23*IF(D23=0,1,D23)*12,F23*IF(D23=0,1,D23))))</f>
        <v/>
      </c>
      <c r="I23" s="8">
        <f>IF(H23=0,0,H23/12)</f>
        <v/>
      </c>
    </row>
    <row r="24" ht="20" customHeight="1">
      <c r="A24" s="14" t="n">
        <v>20</v>
      </c>
      <c r="B24" s="13" t="inlineStr">
        <is>
          <t>Обложки для учебников</t>
        </is>
      </c>
      <c r="C24" s="15" t="inlineStr">
        <is>
          <t>в школу</t>
        </is>
      </c>
      <c r="D24" s="15" t="n">
        <v>1</v>
      </c>
      <c r="E24" s="17" t="inlineStr">
        <is>
          <t>https://www.detmir.ru/catalog/index/name/cover_notebook/</t>
        </is>
      </c>
      <c r="F24" s="16" t="n">
        <v>199</v>
      </c>
      <c r="G24" s="15" t="n">
        <v>1</v>
      </c>
      <c r="H24" s="8">
        <f>IF(ISNUMBER(G24),IF(G24=0,0,F24*IF(D24=0,1,D24)/G24),IF(G24="неделя",F24*IF(D24=0,1,D24)*52,IF(G24="месяц",F24*IF(D24=0,1,D24)*12,F24*IF(D24=0,1,D24))))</f>
        <v/>
      </c>
      <c r="I24" s="8">
        <f>IF(H24=0,0,H24/12)</f>
        <v/>
      </c>
    </row>
    <row r="25" ht="20" customHeight="1">
      <c r="A25" s="14" t="n">
        <v>21</v>
      </c>
      <c r="B25" s="13" t="inlineStr">
        <is>
          <t>Папка для тетрадей</t>
        </is>
      </c>
      <c r="C25" s="15" t="inlineStr">
        <is>
          <t>в школу</t>
        </is>
      </c>
      <c r="D25" s="15" t="n">
        <v>1</v>
      </c>
      <c r="E25" s="17" t="inlineStr">
        <is>
          <t>https://www.detmir.ru/search/results/?qt=%D0%BF%D0%B0%D0%BF%D0%BA%D0%B0%20%D0%B4%D0%BB%D1%8F%20%D1%82%D0%B5%D1%82%D1%80%D0%B0%D0%B4%D0%B5%D0%B9</t>
        </is>
      </c>
      <c r="F25" s="16" t="n">
        <v>199</v>
      </c>
      <c r="G25" s="15" t="n">
        <v>1</v>
      </c>
      <c r="H25" s="8">
        <f>IF(ISNUMBER(G25),IF(G25=0,0,F25*IF(D25=0,1,D25)/G25),IF(G25="неделя",F25*IF(D25=0,1,D25)*52,IF(G25="месяц",F25*IF(D25=0,1,D25)*12,F25*IF(D25=0,1,D25))))</f>
        <v/>
      </c>
      <c r="I25" s="8">
        <f>IF(H25=0,0,H25/12)</f>
        <v/>
      </c>
    </row>
    <row r="26" ht="20" customHeight="1">
      <c r="A26" s="14" t="n">
        <v>22</v>
      </c>
      <c r="B26" s="13" t="inlineStr">
        <is>
          <t>Папка для труда</t>
        </is>
      </c>
      <c r="C26" s="15" t="inlineStr">
        <is>
          <t>в школу</t>
        </is>
      </c>
      <c r="D26" s="15" t="n">
        <v>1</v>
      </c>
      <c r="E26" s="17" t="inlineStr">
        <is>
          <t>https://www.detmir.ru/search/results/?qt=%D0%BF%D0%B0%D0%BF%D0%BA%D0%B0%20%D0%B4%D0%BB%D1%8F%20%D1%82%D1%80%D1%83%D0%B4%D0%B0</t>
        </is>
      </c>
      <c r="F26" s="16" t="n">
        <v>349</v>
      </c>
      <c r="G26" s="15" t="n">
        <v>1</v>
      </c>
      <c r="H26" s="8">
        <f>IF(ISNUMBER(G26),IF(G26=0,0,F26*IF(D26=0,1,D26)/G26),IF(G26="неделя",F26*IF(D26=0,1,D26)*52,IF(G26="месяц",F26*IF(D26=0,1,D26)*12,F26*IF(D26=0,1,D26))))</f>
        <v/>
      </c>
      <c r="I26" s="8">
        <f>IF(H26=0,0,H26/12)</f>
        <v/>
      </c>
    </row>
    <row r="27" ht="20" customHeight="1">
      <c r="A27" s="14" t="n">
        <v>23</v>
      </c>
      <c r="B27" s="13" t="inlineStr">
        <is>
          <t>Пенал</t>
        </is>
      </c>
      <c r="C27" s="15" t="inlineStr">
        <is>
          <t>в школу</t>
        </is>
      </c>
      <c r="D27" s="15" t="n">
        <v>1</v>
      </c>
      <c r="E27" s="17" t="inlineStr">
        <is>
          <t>https://www.detmir.ru/product/index/id/6400444/</t>
        </is>
      </c>
      <c r="F27" s="16" t="n">
        <v>479</v>
      </c>
      <c r="G27" s="15" t="n">
        <v>1</v>
      </c>
      <c r="H27" s="8">
        <f>IF(ISNUMBER(G27),IF(G27=0,0,F27*IF(D27=0,1,D27)/G27),IF(G27="неделя",F27*IF(D27=0,1,D27)*52,IF(G27="месяц",F27*IF(D27=0,1,D27)*12,F27*IF(D27=0,1,D27))))</f>
        <v/>
      </c>
      <c r="I27" s="8">
        <f>IF(H27=0,0,H27/12)</f>
        <v/>
      </c>
    </row>
    <row r="28" ht="20" customHeight="1">
      <c r="A28" s="14" t="n">
        <v>24</v>
      </c>
      <c r="B28" s="13" t="inlineStr">
        <is>
          <t>Пластилин 12 цв.</t>
        </is>
      </c>
      <c r="C28" s="15" t="inlineStr">
        <is>
          <t>в школу</t>
        </is>
      </c>
      <c r="D28" s="15" t="n">
        <v>1</v>
      </c>
      <c r="E28" s="17" t="inlineStr">
        <is>
          <t>https://www.detmir.ru/search/results/?qt=%D0%BF%D0%BB%D0%B0%D1%81%D1%82%D0%B8%D0%BB%D0%B8%D0%BD</t>
        </is>
      </c>
      <c r="F28" s="16" t="n">
        <v>149</v>
      </c>
      <c r="G28" s="15" t="n">
        <v>1</v>
      </c>
      <c r="H28" s="8">
        <f>IF(ISNUMBER(G28),IF(G28=0,0,F28*IF(D28=0,1,D28)/G28),IF(G28="неделя",F28*IF(D28=0,1,D28)*52,IF(G28="месяц",F28*IF(D28=0,1,D28)*12,F28*IF(D28=0,1,D28))))</f>
        <v/>
      </c>
      <c r="I28" s="8">
        <f>IF(H28=0,0,H28/12)</f>
        <v/>
      </c>
    </row>
    <row r="29" ht="20" customHeight="1">
      <c r="A29" s="14" t="n">
        <v>25</v>
      </c>
      <c r="B29" s="13" t="inlineStr">
        <is>
          <t>Ручка синяя</t>
        </is>
      </c>
      <c r="C29" s="15" t="inlineStr">
        <is>
          <t>в школу</t>
        </is>
      </c>
      <c r="D29" s="15" t="n">
        <v>10</v>
      </c>
      <c r="E29" s="17" t="inlineStr">
        <is>
          <t>https://www.detmir.ru/product/index/id/6505850/</t>
        </is>
      </c>
      <c r="F29" s="16" t="n">
        <v>50</v>
      </c>
      <c r="G29" s="15" t="n">
        <v>1</v>
      </c>
      <c r="H29" s="8">
        <f>IF(ISNUMBER(G29),IF(G29=0,0,F29*IF(D29=0,1,D29)/G29),IF(G29="неделя",F29*IF(D29=0,1,D29)*52,IF(G29="месяц",F29*IF(D29=0,1,D29)*12,F29*IF(D29=0,1,D29))))</f>
        <v/>
      </c>
      <c r="I29" s="8">
        <f>IF(H29=0,0,H29/12)</f>
        <v/>
      </c>
    </row>
    <row r="30" ht="20" customHeight="1">
      <c r="A30" s="14" t="n">
        <v>26</v>
      </c>
      <c r="B30" s="13" t="inlineStr">
        <is>
          <t>Тетрадь в клетку 18 л., твёрдая обложка</t>
        </is>
      </c>
      <c r="C30" s="15" t="inlineStr">
        <is>
          <t>в школу</t>
        </is>
      </c>
      <c r="D30" s="15" t="n">
        <v>20</v>
      </c>
      <c r="E30" s="17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F30" s="16" t="n">
        <v>50</v>
      </c>
      <c r="G30" s="15" t="n">
        <v>1</v>
      </c>
      <c r="H30" s="8">
        <f>IF(ISNUMBER(G30),IF(G30=0,0,F30*IF(D30=0,1,D30)/G30),IF(G30="неделя",F30*IF(D30=0,1,D30)*52,IF(G30="месяц",F30*IF(D30=0,1,D30)*12,F30*IF(D30=0,1,D30))))</f>
        <v/>
      </c>
      <c r="I30" s="8">
        <f>IF(H30=0,0,H30/12)</f>
        <v/>
      </c>
    </row>
    <row r="31" ht="20" customHeight="1">
      <c r="A31" s="14" t="n">
        <v>27</v>
      </c>
      <c r="B31" s="13" t="inlineStr">
        <is>
          <t>Тетрадь в линейку 12 л.</t>
        </is>
      </c>
      <c r="C31" s="15" t="inlineStr">
        <is>
          <t>в школу</t>
        </is>
      </c>
      <c r="D31" s="15" t="n">
        <v>20</v>
      </c>
      <c r="E31" s="17" t="inlineStr">
        <is>
          <t>https://www.detmir.ru/product/index/id/6683471/</t>
        </is>
      </c>
      <c r="F31" s="16" t="n">
        <v>13.9</v>
      </c>
      <c r="G31" s="15" t="n">
        <v>1</v>
      </c>
      <c r="H31" s="8">
        <f>IF(ISNUMBER(G31),IF(G31=0,0,F31*IF(D31=0,1,D31)/G31),IF(G31="неделя",F31*IF(D31=0,1,D31)*52,IF(G31="месяц",F31*IF(D31=0,1,D31)*12,F31*IF(D31=0,1,D31))))</f>
        <v/>
      </c>
      <c r="I31" s="8">
        <f>IF(H31=0,0,H31/12)</f>
        <v/>
      </c>
    </row>
    <row r="32" ht="20" customHeight="1">
      <c r="A32" s="14" t="n">
        <v>28</v>
      </c>
      <c r="B32" s="13" t="inlineStr">
        <is>
          <t>Точилка</t>
        </is>
      </c>
      <c r="C32" s="15" t="inlineStr">
        <is>
          <t>в школу</t>
        </is>
      </c>
      <c r="D32" s="15" t="n">
        <v>1</v>
      </c>
      <c r="E32" s="17" t="inlineStr">
        <is>
          <t>https://www.detmir.ru/search/results/?qt=%D1%82%D0%BE%D1%87%D0%B8%D0%BB%D0%BA%D0%B0</t>
        </is>
      </c>
      <c r="F32" s="16" t="n">
        <v>79</v>
      </c>
      <c r="G32" s="15" t="n">
        <v>1</v>
      </c>
      <c r="H32" s="8">
        <f>IF(ISNUMBER(G32),IF(G32=0,0,F32*IF(D32=0,1,D32)/G32),IF(G32="неделя",F32*IF(D32=0,1,D32)*52,IF(G32="месяц",F32*IF(D32=0,1,D32)*12,F32*IF(D32=0,1,D32))))</f>
        <v/>
      </c>
      <c r="I32" s="8">
        <f>IF(H32=0,0,H32/12)</f>
        <v/>
      </c>
    </row>
    <row r="33" ht="20" customHeight="1">
      <c r="A33" s="14" t="n">
        <v>29</v>
      </c>
      <c r="B33" s="13" t="inlineStr">
        <is>
          <t>Учебные пособия</t>
        </is>
      </c>
      <c r="C33" s="15" t="inlineStr">
        <is>
          <t>в школу</t>
        </is>
      </c>
      <c r="D33" s="15" t="n">
        <v>1</v>
      </c>
      <c r="E33" s="17" t="inlineStr">
        <is>
          <t>https://www.detmir.ru/search/results/?qt=%D1%83%D1%87%D0%B5%D0%B1%D0%BD%D1%8B%D0%B5%20%D0%BF%D0%BE%D1%81%D0%BE%D0%B1%D0%B8%D1%8F</t>
        </is>
      </c>
      <c r="F33" s="16" t="n">
        <v>2000</v>
      </c>
      <c r="G33" s="15" t="n">
        <v>1</v>
      </c>
      <c r="H33" s="8">
        <f>IF(ISNUMBER(G33),IF(G33=0,0,F33*IF(D33=0,1,D33)/G33),IF(G33="неделя",F33*IF(D33=0,1,D33)*52,IF(G33="месяц",F33*IF(D33=0,1,D33)*12,F33*IF(D33=0,1,D33))))</f>
        <v/>
      </c>
      <c r="I33" s="8">
        <f>IF(H33=0,0,H33/12)</f>
        <v/>
      </c>
    </row>
    <row r="34" ht="20" customHeight="1">
      <c r="A34" s="14" t="n">
        <v>30</v>
      </c>
      <c r="B34" s="13" t="inlineStr">
        <is>
          <t>Фломастеры 50</t>
        </is>
      </c>
      <c r="C34" s="15" t="inlineStr">
        <is>
          <t>в школу</t>
        </is>
      </c>
      <c r="D34" s="15" t="n">
        <v>2</v>
      </c>
      <c r="E34" s="17" t="inlineStr">
        <is>
          <t>https://www.detmir.ru/product/index/id/3293711/</t>
        </is>
      </c>
      <c r="F34" s="16" t="n">
        <v>549</v>
      </c>
      <c r="G34" s="15" t="n">
        <v>1</v>
      </c>
      <c r="H34" s="8">
        <f>IF(ISNUMBER(G34),IF(G34=0,0,F34*IF(D34=0,1,D34)/G34),IF(G34="неделя",F34*IF(D34=0,1,D34)*52,IF(G34="месяц",F34*IF(D34=0,1,D34)*12,F34*IF(D34=0,1,D34))))</f>
        <v/>
      </c>
      <c r="I34" s="8">
        <f>IF(H34=0,0,H34/12)</f>
        <v/>
      </c>
    </row>
    <row r="35" ht="20" customHeight="1">
      <c r="A35" s="14" t="n">
        <v>31</v>
      </c>
      <c r="B35" s="13" t="inlineStr">
        <is>
          <t>Цветная бумага</t>
        </is>
      </c>
      <c r="C35" s="15" t="inlineStr">
        <is>
          <t>в школу</t>
        </is>
      </c>
      <c r="D35" s="15" t="n">
        <v>1</v>
      </c>
      <c r="E35" s="17" t="inlineStr">
        <is>
          <t>https://www.detmir.ru/search/results/?qt=%D1%86%D0%B2%D0%B5%D1%82%D0%BD%D0%B0%D1%8F%20%D0%B1%D1%83%D0%BC%D0%B0%D0%B3%D0%B0</t>
        </is>
      </c>
      <c r="F35" s="16" t="n">
        <v>69</v>
      </c>
      <c r="G35" s="15" t="n">
        <v>1</v>
      </c>
      <c r="H35" s="8">
        <f>IF(ISNUMBER(G35),IF(G35=0,0,F35*IF(D35=0,1,D35)/G35),IF(G35="неделя",F35*IF(D35=0,1,D35)*52,IF(G35="месяц",F35*IF(D35=0,1,D35)*12,F35*IF(D35=0,1,D35))))</f>
        <v/>
      </c>
      <c r="I35" s="8">
        <f>IF(H35=0,0,H35/12)</f>
        <v/>
      </c>
    </row>
    <row r="37">
      <c r="A37" s="10" t="inlineStr">
        <is>
          <t>Итого: Школьные принадлежности</t>
        </is>
      </c>
      <c r="B37" s="10" t="n"/>
      <c r="C37" s="10" t="n"/>
      <c r="D37" s="10" t="n"/>
      <c r="E37" s="10" t="n"/>
      <c r="F37" s="10" t="n"/>
      <c r="G37" s="10" t="n"/>
      <c r="H37" s="11">
        <f>H5+H6+H7+H8+H9+H10+H11+H12+H13+H14+H15+H16+H17+H18+H19+H20+H21+H22+H23+H24+H25+H26+H27+H28+H29+H30+H31+H32+H33+H34+H35</f>
        <v/>
      </c>
      <c r="I37" s="11">
        <f>IF(H37=0,0,H37/12)</f>
        <v/>
      </c>
    </row>
  </sheetData>
  <mergeCells count="3">
    <mergeCell ref="A1:I1"/>
    <mergeCell ref="A2:I2"/>
    <mergeCell ref="A37:G37"/>
  </mergeCells>
  <dataValidations count="1">
    <dataValidation sqref="C5:C35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Период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inlineStr">
        <is>
          <t>—</t>
        </is>
      </c>
      <c r="D5" s="15" t="n">
        <v>1</v>
      </c>
      <c r="E5" s="17" t="inlineStr">
        <is>
          <t>https://www.eapteka.ru/goods/id215357/</t>
        </is>
      </c>
      <c r="F5" s="16" t="n">
        <v>548</v>
      </c>
      <c r="G5" s="15" t="inlineStr">
        <is>
          <t>год</t>
        </is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Йод</t>
        </is>
      </c>
      <c r="C6" s="15" t="inlineStr">
        <is>
          <t>—</t>
        </is>
      </c>
      <c r="D6" s="15" t="n">
        <v>1</v>
      </c>
      <c r="E6" s="17" t="inlineStr">
        <is>
          <t>https://www.eapteka.ru/search/?q=%D0%B9%D0%BE%D0%B4</t>
        </is>
      </c>
      <c r="F6" s="16" t="n">
        <v>59</v>
      </c>
      <c r="G6" s="15" t="inlineStr">
        <is>
          <t>год</t>
        </is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inlineStr">
        <is>
          <t>—</t>
        </is>
      </c>
      <c r="D7" s="15" t="n">
        <v>9</v>
      </c>
      <c r="E7" s="17" t="inlineStr">
        <is>
          <t>https://apteka.magnit.ru/product/7000001484-makmiror_tabletki_200mg_20sht</t>
        </is>
      </c>
      <c r="F7" s="16" t="n">
        <v>1470</v>
      </c>
      <c r="G7" s="15" t="inlineStr">
        <is>
          <t>год</t>
        </is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inlineStr">
        <is>
          <t>—</t>
        </is>
      </c>
      <c r="D8" s="15" t="n">
        <v>1</v>
      </c>
      <c r="E8" s="17" t="inlineStr">
        <is>
          <t>https://www.eapteka.ru/search/?q=%D0%BD%D0%B0%D0%B7%D0%B8%D0%B2%D0%B8%D0%BD</t>
        </is>
      </c>
      <c r="F8" s="16" t="n">
        <v>340</v>
      </c>
      <c r="G8" s="15" t="inlineStr">
        <is>
          <t>год</t>
        </is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inlineStr">
        <is>
          <t>—</t>
        </is>
      </c>
      <c r="D9" s="15" t="n">
        <v>1</v>
      </c>
      <c r="E9" s="17" t="inlineStr">
        <is>
          <t>https://www.eapteka.ru/search/?q=%D0%BF%D0%B5%D1%80%D0%B5%D0%BA%D0%B8%D1%81%D1%8C%20%D0%B2%D0%BE%D0%B4%D0%BE%D1%80%D0%BE%D0%B4%D0%B0</t>
        </is>
      </c>
      <c r="F9" s="16" t="n">
        <v>45</v>
      </c>
      <c r="G9" s="15" t="inlineStr">
        <is>
          <t>год</t>
        </is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inlineStr">
        <is>
          <t>—</t>
        </is>
      </c>
      <c r="D10" s="15" t="n">
        <v>2</v>
      </c>
      <c r="E10" s="17" t="inlineStr">
        <is>
          <t>https://www.eapteka.ru/search/?q=%D0%BF%D0%B8%D1%80%D0%B0%D0%BD%D1%82%D0%B5%D0%BB%20%D1%81%D1%83%D1%81%D0%BF%D0%B5%D0%BD%D0%B7%D0%B8%D1%8F</t>
        </is>
      </c>
      <c r="F10" s="16" t="n">
        <v>140</v>
      </c>
      <c r="G10" s="15" t="inlineStr">
        <is>
          <t>год</t>
        </is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inlineStr">
        <is>
          <t>—</t>
        </is>
      </c>
      <c r="D11" s="15" t="n">
        <v>1</v>
      </c>
      <c r="E11" s="17" t="inlineStr">
        <is>
          <t>https://www.eapteka.ru/search/?q=%D0%BF%D0%BB%D0%B0%D1%81%D1%82%D1%8B%D1%80%D1%8C</t>
        </is>
      </c>
      <c r="F11" s="16" t="n">
        <v>99</v>
      </c>
      <c r="G11" s="15" t="inlineStr">
        <is>
          <t>год</t>
        </is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inlineStr">
        <is>
          <t>—</t>
        </is>
      </c>
      <c r="D12" s="15" t="n">
        <v>1</v>
      </c>
      <c r="E12" s="17" t="inlineStr">
        <is>
          <t>https://www.eapteka.ru/search/?q=%D1%83%D1%88%D0%BD%D1%8B%D0%B5%20%D0%BA%D0%B0%D0%BF%D0%BB%D0%B8</t>
        </is>
      </c>
      <c r="F12" s="16" t="n">
        <v>300</v>
      </c>
      <c r="G12" s="15" t="inlineStr">
        <is>
          <t>год</t>
        </is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0" t="n"/>
      <c r="H14" s="11">
        <f>H5+H6+H7+H8+H9+H10+H11+H12</f>
        <v/>
      </c>
      <c r="I14" s="11">
        <f>IF(H14=0,0,H14/12)</f>
        <v/>
      </c>
    </row>
  </sheetData>
  <mergeCells count="3">
    <mergeCell ref="A1:I1"/>
    <mergeCell ref="A14:G14"/>
    <mergeCell ref="A2:I2"/>
  </mergeCells>
  <dataValidations count="2">
    <dataValidation sqref="G5:G12" showDropDown="0" showInputMessage="0" showErrorMessage="0" allowBlank="0" type="list">
      <formula1>"неделя,месяц,год"</formula1>
    </dataValidation>
    <dataValidation sqref="C5:C12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Период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inlineStr">
        <is>
          <t>—</t>
        </is>
      </c>
      <c r="D5" s="15" t="n">
        <v>1</v>
      </c>
      <c r="E5" s="12" t="inlineStr"/>
      <c r="F5" s="16" t="n">
        <v>6000</v>
      </c>
      <c r="G5" s="15" t="inlineStr">
        <is>
          <t>год</t>
        </is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0" t="n"/>
      <c r="H7" s="11">
        <f>H5</f>
        <v/>
      </c>
      <c r="I7" s="11">
        <f>IF(H7=0,0,H7/12)</f>
        <v/>
      </c>
    </row>
  </sheetData>
  <mergeCells count="3">
    <mergeCell ref="A1:I1"/>
    <mergeCell ref="A2:I2"/>
    <mergeCell ref="A7:G7"/>
  </mergeCells>
  <dataValidations count="2">
    <dataValidation sqref="G5" showDropDown="0" showInputMessage="0" showErrorMessage="0" allowBlank="0" type="list">
      <formula1>"неделя,месяц,год"</formula1>
    </dataValidation>
    <dataValidation sqref="C5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inlineStr">
        <is>
          <t>—</t>
        </is>
      </c>
      <c r="D5" s="15" t="n">
        <v>1</v>
      </c>
      <c r="E5" s="16" t="n">
        <v>1000</v>
      </c>
      <c r="F5" s="15" t="inlineStr">
        <is>
          <t>неделя</t>
        </is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2">
    <dataValidation sqref="F5" showDropDown="0" showInputMessage="0" showErrorMessage="0" allowBlank="0" type="list">
      <formula1>"неделя,месяц,год"</formula1>
    </dataValidation>
    <dataValidation sqref="C5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inlineStr">
        <is>
          <t>—</t>
        </is>
      </c>
      <c r="D5" s="15" t="n">
        <v>1</v>
      </c>
      <c r="E5" s="16" t="n">
        <v>300</v>
      </c>
      <c r="F5" s="15" t="inlineStr">
        <is>
          <t>месяц</t>
        </is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2">
    <dataValidation sqref="F5" showDropDown="0" showInputMessage="0" showErrorMessage="0" allowBlank="0" type="list">
      <formula1>"неделя,месяц,год"</formula1>
    </dataValidation>
    <dataValidation sqref="C5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inlineStr">
        <is>
          <t>—</t>
        </is>
      </c>
      <c r="D5" s="15" t="n">
        <v>12</v>
      </c>
      <c r="E5" s="16" t="n">
        <v>3440</v>
      </c>
      <c r="F5" s="15" t="n">
        <v>1</v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Питание в школе</t>
        </is>
      </c>
      <c r="C6" s="15" t="inlineStr">
        <is>
          <t>—</t>
        </is>
      </c>
      <c r="D6" s="15" t="n">
        <v>170</v>
      </c>
      <c r="E6" s="16" t="n">
        <v>100</v>
      </c>
      <c r="F6" s="15" t="n">
        <v>1</v>
      </c>
      <c r="G6" s="8">
        <f>IF(ISNUMBER(F6),IF(F6=0,0,E6*IF(D6=0,1,D6)/F6),IF(F6="неделя",E6*IF(D6=0,1,D6)*52,IF(F6="месяц",E6*IF(D6=0,1,D6)*12,E6*IF(D6=0,1,D6))))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Платный курс (школа)</t>
        </is>
      </c>
      <c r="C7" s="15" t="inlineStr">
        <is>
          <t>—</t>
        </is>
      </c>
      <c r="D7" s="15" t="n">
        <v>12</v>
      </c>
      <c r="E7" s="16" t="n">
        <v>300</v>
      </c>
      <c r="F7" s="15" t="n">
        <v>1</v>
      </c>
      <c r="G7" s="8">
        <f>IF(ISNUMBER(F7),IF(F7=0,0,E7*IF(D7=0,1,D7)/F7),IF(F7="неделя",E7*IF(D7=0,1,D7)*52,IF(F7="месяц",E7*IF(D7=0,1,D7)*12,E7*IF(D7=0,1,D7))))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Взносы в школу</t>
        </is>
      </c>
      <c r="C8" s="15" t="inlineStr">
        <is>
          <t>—</t>
        </is>
      </c>
      <c r="D8" s="15" t="n">
        <v>1</v>
      </c>
      <c r="E8" s="16" t="n">
        <v>3000</v>
      </c>
      <c r="F8" s="15" t="n">
        <v>1</v>
      </c>
      <c r="G8" s="8">
        <f>IF(ISNUMBER(F8),IF(F8=0,0,E8*IF(D8=0,1,D8)/F8),IF(F8="неделя",E8*IF(D8=0,1,D8)*52,IF(F8="месяц",E8*IF(D8=0,1,D8)*12,E8*IF(D8=0,1,D8))))</f>
        <v/>
      </c>
      <c r="H8" s="8">
        <f>IF(G8=0,0,G8/12)</f>
        <v/>
      </c>
    </row>
    <row r="10">
      <c r="A10" s="10" t="inlineStr">
        <is>
          <t>Итого: Образование</t>
        </is>
      </c>
      <c r="B10" s="10" t="n"/>
      <c r="C10" s="10" t="n"/>
      <c r="D10" s="10" t="n"/>
      <c r="E10" s="10" t="n"/>
      <c r="F10" s="10" t="n"/>
      <c r="G10" s="11">
        <f>G5+G6+G7+G8</f>
        <v/>
      </c>
      <c r="H10" s="11">
        <f>IF(G10=0,0,G10/12)</f>
        <v/>
      </c>
    </row>
  </sheetData>
  <mergeCells count="3">
    <mergeCell ref="A10:F10"/>
    <mergeCell ref="A2:H2"/>
    <mergeCell ref="A1:H1"/>
  </mergeCells>
  <dataValidations count="1">
    <dataValidation sqref="C5:C8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inlineStr">
        <is>
          <t>—</t>
        </is>
      </c>
      <c r="D5" s="15" t="n">
        <v>1</v>
      </c>
      <c r="E5" s="16" t="n">
        <v>2000</v>
      </c>
      <c r="F5" s="15" t="n">
        <v>1</v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inlineStr">
        <is>
          <t>—</t>
        </is>
      </c>
      <c r="D6" s="15" t="n">
        <v>1</v>
      </c>
      <c r="E6" s="16" t="n">
        <v>10000</v>
      </c>
      <c r="F6" s="15" t="n">
        <v>5</v>
      </c>
      <c r="G6" s="8">
        <f>IF(ISNUMBER(F6),IF(F6=0,0,E6*IF(D6=0,1,D6)/F6),IF(F6="неделя",E6*IF(D6=0,1,D6)*52,IF(F6="месяц",E6*IF(D6=0,1,D6)*12,E6*IF(D6=0,1,D6))))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inlineStr">
        <is>
          <t>—</t>
        </is>
      </c>
      <c r="D7" s="15" t="n">
        <v>1</v>
      </c>
      <c r="E7" s="16" t="n">
        <v>5000</v>
      </c>
      <c r="F7" s="15" t="n">
        <v>1</v>
      </c>
      <c r="G7" s="8">
        <f>IF(ISNUMBER(F7),IF(F7=0,0,E7*IF(D7=0,1,D7)/F7),IF(F7="неделя",E7*IF(D7=0,1,D7)*52,IF(F7="месяц",E7*IF(D7=0,1,D7)*12,E7*IF(D7=0,1,D7))))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inlineStr">
        <is>
          <t>—</t>
        </is>
      </c>
      <c r="D8" s="15" t="n">
        <v>1</v>
      </c>
      <c r="E8" s="16" t="n">
        <v>5000</v>
      </c>
      <c r="F8" s="15" t="n">
        <v>1</v>
      </c>
      <c r="G8" s="8">
        <f>IF(ISNUMBER(F8),IF(F8=0,0,E8*IF(D8=0,1,D8)/F8),IF(F8="неделя",E8*IF(D8=0,1,D8)*52,IF(F8="месяц",E8*IF(D8=0,1,D8)*12,E8*IF(D8=0,1,D8))))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inlineStr">
        <is>
          <t>—</t>
        </is>
      </c>
      <c r="D9" s="15" t="n">
        <v>1</v>
      </c>
      <c r="E9" s="16" t="n">
        <v>5000</v>
      </c>
      <c r="F9" s="15" t="n">
        <v>1</v>
      </c>
      <c r="G9" s="8">
        <f>IF(ISNUMBER(F9),IF(F9=0,0,E9*IF(D9=0,1,D9)/F9),IF(F9="неделя",E9*IF(D9=0,1,D9)*52,IF(F9="месяц",E9*IF(D9=0,1,D9)*12,E9*IF(D9=0,1,D9))))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inlineStr">
        <is>
          <t>—</t>
        </is>
      </c>
      <c r="D10" s="15" t="n">
        <v>1</v>
      </c>
      <c r="E10" s="16" t="n">
        <v>2000</v>
      </c>
      <c r="F10" s="15" t="n">
        <v>1</v>
      </c>
      <c r="G10" s="8">
        <f>IF(ISNUMBER(F10),IF(F10=0,0,E10*IF(D10=0,1,D10)/F10),IF(F10="неделя",E10*IF(D10=0,1,D10)*52,IF(F10="месяц",E10*IF(D10=0,1,D10)*12,E10*IF(D10=0,1,D10))))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inlineStr">
        <is>
          <t>—</t>
        </is>
      </c>
      <c r="D11" s="15" t="n">
        <v>12</v>
      </c>
      <c r="E11" s="16" t="n">
        <v>500</v>
      </c>
      <c r="F11" s="15" t="n">
        <v>1</v>
      </c>
      <c r="G11" s="8">
        <f>IF(ISNUMBER(F11),IF(F11=0,0,E11*IF(D11=0,1,D11)/F11),IF(F11="неделя",E11*IF(D11=0,1,D11)*52,IF(F11="месяц",E11*IF(D11=0,1,D11)*12,E11*IF(D11=0,1,D11))))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inlineStr">
        <is>
          <t>—</t>
        </is>
      </c>
      <c r="D12" s="15" t="n">
        <v>12</v>
      </c>
      <c r="E12" s="16" t="n">
        <v>2000</v>
      </c>
      <c r="F12" s="15" t="n">
        <v>1</v>
      </c>
      <c r="G12" s="8">
        <f>IF(ISNUMBER(F12),IF(F12=0,0,E12*IF(D12=0,1,D12)/F12),IF(F12="неделя",E12*IF(D12=0,1,D12)*52,IF(F12="месяц",E12*IF(D12=0,1,D12)*12,E12*IF(D12=0,1,D12))))</f>
        <v/>
      </c>
      <c r="H12" s="8">
        <f>IF(G12=0,0,G12/12)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C5:C12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Абонемент Олимпия Спорт</t>
        </is>
      </c>
      <c r="C5" s="15" t="inlineStr">
        <is>
          <t>—</t>
        </is>
      </c>
      <c r="D5" s="15" t="n">
        <v>1</v>
      </c>
      <c r="E5" s="16" t="n">
        <v>36000</v>
      </c>
      <c r="F5" s="15" t="inlineStr">
        <is>
          <t>год</t>
        </is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Бургер Кинг / кафе</t>
        </is>
      </c>
      <c r="C6" s="15" t="inlineStr">
        <is>
          <t>—</t>
        </is>
      </c>
      <c r="D6" s="15" t="n">
        <v>1</v>
      </c>
      <c r="E6" s="16" t="n">
        <v>1100</v>
      </c>
      <c r="F6" s="15" t="inlineStr">
        <is>
          <t>неделя</t>
        </is>
      </c>
      <c r="G6" s="8">
        <f>IF(ISNUMBER(F6),IF(F6=0,0,E6*IF(D6=0,1,D6)/F6),IF(F6="неделя",E6*IF(D6=0,1,D6)*52,IF(F6="месяц",E6*IF(D6=0,1,D6)*12,E6*IF(D6=0,1,D6))))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Зоопарк</t>
        </is>
      </c>
      <c r="C7" s="15" t="inlineStr">
        <is>
          <t>—</t>
        </is>
      </c>
      <c r="D7" s="15" t="n">
        <v>1</v>
      </c>
      <c r="E7" s="16" t="n">
        <v>375</v>
      </c>
      <c r="F7" s="15" t="inlineStr">
        <is>
          <t>год</t>
        </is>
      </c>
      <c r="G7" s="8">
        <f>IF(ISNUMBER(F7),IF(F7=0,0,E7*IF(D7=0,1,D7)/F7),IF(F7="неделя",E7*IF(D7=0,1,D7)*52,IF(F7="месяц",E7*IF(D7=0,1,D7)*12,E7*IF(D7=0,1,D7))))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Кино</t>
        </is>
      </c>
      <c r="C8" s="15" t="inlineStr">
        <is>
          <t>—</t>
        </is>
      </c>
      <c r="D8" s="15" t="n">
        <v>1</v>
      </c>
      <c r="E8" s="16" t="n">
        <v>570</v>
      </c>
      <c r="F8" s="15" t="inlineStr">
        <is>
          <t>месяц</t>
        </is>
      </c>
      <c r="G8" s="8">
        <f>IF(ISNUMBER(F8),IF(F8=0,0,E8*IF(D8=0,1,D8)/F8),IF(F8="неделя",E8*IF(D8=0,1,D8)*52,IF(F8="месяц",E8*IF(D8=0,1,D8)*12,E8*IF(D8=0,1,D8))))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Поход в цирк</t>
        </is>
      </c>
      <c r="C9" s="15" t="inlineStr">
        <is>
          <t>—</t>
        </is>
      </c>
      <c r="D9" s="15" t="n">
        <v>1</v>
      </c>
      <c r="E9" s="16" t="n">
        <v>2250</v>
      </c>
      <c r="F9" s="15" t="inlineStr">
        <is>
          <t>год</t>
        </is>
      </c>
      <c r="G9" s="8">
        <f>IF(ISNUMBER(F9),IF(F9=0,0,E9*IF(D9=0,1,D9)/F9),IF(F9="неделя",E9*IF(D9=0,1,D9)*52,IF(F9="месяц",E9*IF(D9=0,1,D9)*12,E9*IF(D9=0,1,D9))))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Секция самбо</t>
        </is>
      </c>
      <c r="C10" s="15" t="inlineStr">
        <is>
          <t>—</t>
        </is>
      </c>
      <c r="D10" s="15" t="n">
        <v>1</v>
      </c>
      <c r="E10" s="16" t="n">
        <v>4000</v>
      </c>
      <c r="F10" s="15" t="inlineStr">
        <is>
          <t>месяц</t>
        </is>
      </c>
      <c r="G10" s="8">
        <f>IF(ISNUMBER(F10),IF(F10=0,0,E10*IF(D10=0,1,D10)/F10),IF(F10="неделя",E10*IF(D10=0,1,D10)*52,IF(F10="месяц",E10*IF(D10=0,1,D10)*12,E10*IF(D10=0,1,D10))))</f>
        <v/>
      </c>
      <c r="H10" s="8">
        <f>IF(G10=0,0,G10/12)</f>
        <v/>
      </c>
    </row>
    <row r="12">
      <c r="A12" s="10" t="inlineStr">
        <is>
          <t>Итого: Хобби и развлечения</t>
        </is>
      </c>
      <c r="B12" s="10" t="n"/>
      <c r="C12" s="10" t="n"/>
      <c r="D12" s="10" t="n"/>
      <c r="E12" s="10" t="n"/>
      <c r="F12" s="10" t="n"/>
      <c r="G12" s="11">
        <f>G5+G6+G7+G8+G9+G10</f>
        <v/>
      </c>
      <c r="H12" s="11">
        <f>IF(G12=0,0,G12/12)</f>
        <v/>
      </c>
    </row>
  </sheetData>
  <mergeCells count="3">
    <mergeCell ref="A2:H2"/>
    <mergeCell ref="A12:F12"/>
    <mergeCell ref="A1:H1"/>
  </mergeCells>
  <dataValidations count="2">
    <dataValidation sqref="F5:F10" showDropDown="0" showInputMessage="0" showErrorMessage="0" allowBlank="0" type="list">
      <formula1>"неделя,месяц,год"</formula1>
    </dataValidation>
    <dataValidation sqref="C5:C10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Период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inlineStr">
        <is>
          <t>—</t>
        </is>
      </c>
      <c r="D5" s="15" t="n">
        <v>6</v>
      </c>
      <c r="E5" s="17" t="inlineStr">
        <is>
          <t>https://magnit.ru/catalog?q=ariel%20color%206</t>
        </is>
      </c>
      <c r="F5" s="16" t="n">
        <v>1399</v>
      </c>
      <c r="G5" s="15" t="inlineStr">
        <is>
          <t>год</t>
        </is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inlineStr">
        <is>
          <t>—</t>
        </is>
      </c>
      <c r="D6" s="15" t="n">
        <v>6</v>
      </c>
      <c r="E6" s="17" t="inlineStr">
        <is>
          <t>https://magnit.ru/catalog?q=lenor</t>
        </is>
      </c>
      <c r="F6" s="16" t="n">
        <v>349</v>
      </c>
      <c r="G6" s="15" t="inlineStr">
        <is>
          <t>год</t>
        </is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inlineStr">
        <is>
          <t>—</t>
        </is>
      </c>
      <c r="D7" s="15" t="n">
        <v>1</v>
      </c>
      <c r="E7" s="17" t="inlineStr">
        <is>
          <t>https://magnit.ru/catalog?q=%D0%B2%D0%B0%D1%82%D0%BD%D1%8B%D0%B5%20%D0%B4%D0%B8%D1%81%D0%BA%D0%B8</t>
        </is>
      </c>
      <c r="F7" s="16" t="n">
        <v>99</v>
      </c>
      <c r="G7" s="15" t="inlineStr">
        <is>
          <t>месяц</t>
        </is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inlineStr">
        <is>
          <t>—</t>
        </is>
      </c>
      <c r="D8" s="15" t="n">
        <v>1</v>
      </c>
      <c r="E8" s="17" t="inlineStr">
        <is>
          <t>https://magnit.ru/catalog?q=%D0%B2%D0%B0%D1%82%D0%BD%D1%8B%D0%B5%20%D0%BF%D0%B0%D0%BB%D0%BE%D1%87%D0%BA%D0%B8</t>
        </is>
      </c>
      <c r="F8" s="16" t="n">
        <v>89</v>
      </c>
      <c r="G8" s="15" t="inlineStr">
        <is>
          <t>месяц</t>
        </is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inlineStr">
        <is>
          <t>—</t>
        </is>
      </c>
      <c r="D9" s="15" t="n">
        <v>1</v>
      </c>
      <c r="E9" s="17" t="inlineStr">
        <is>
          <t>https://magnit.ru/catalog?q=%D0%BC%D1%8B%D0%BB%D0%BE%20%D1%82%D1%83%D0%B0%D0%BB%D0%B5%D1%82%D0%BD%D0%BE%D0%B5</t>
        </is>
      </c>
      <c r="F9" s="16" t="n">
        <v>120</v>
      </c>
      <c r="G9" s="15" t="inlineStr">
        <is>
          <t>месяц</t>
        </is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0" t="n"/>
      <c r="H11" s="11">
        <f>H5+H6+H7+H8+H9</f>
        <v/>
      </c>
      <c r="I11" s="11">
        <f>IF(H11=0,0,H11/12)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0" t="n"/>
      <c r="H12" s="11">
        <f>H11/3</f>
        <v/>
      </c>
      <c r="I12" s="11">
        <f>I11/3</f>
        <v/>
      </c>
    </row>
  </sheetData>
  <mergeCells count="4">
    <mergeCell ref="A1:I1"/>
    <mergeCell ref="A11:G11"/>
    <mergeCell ref="A2:I2"/>
    <mergeCell ref="A12:G12"/>
  </mergeCells>
  <dataValidations count="2">
    <dataValidation sqref="G5:G9" showDropDown="0" showInputMessage="0" showErrorMessage="0" allowBlank="0" type="list">
      <formula1>"неделя,месяц,год"</formula1>
    </dataValidation>
    <dataValidation sqref="C5:C9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/ период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inlineStr">
        <is>
          <t>—</t>
        </is>
      </c>
      <c r="D5" s="15" t="n">
        <v>1</v>
      </c>
      <c r="E5" s="17" t="inlineStr">
        <is>
          <t>https://leroymerlin.ru/search/?q=%D0%B3%D1%80%D0%B0%D1%84%D0%B8%D0%BD%20%D0%B4%D0%BB%D1%8F%20%D0%B2%D0%BE%D0%B4%D1%8B</t>
        </is>
      </c>
      <c r="F5" s="16" t="n">
        <v>999</v>
      </c>
      <c r="G5" s="15" t="n">
        <v>5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inlineStr">
        <is>
          <t>—</t>
        </is>
      </c>
      <c r="D6" s="15" t="n">
        <v>1</v>
      </c>
      <c r="E6" s="17" t="inlineStr">
        <is>
          <t>https://barrier.ru/</t>
        </is>
      </c>
      <c r="F6" s="16" t="n">
        <v>400</v>
      </c>
      <c r="G6" s="15" t="inlineStr">
        <is>
          <t>месяц</t>
        </is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inlineStr">
        <is>
          <t>—</t>
        </is>
      </c>
      <c r="D7" s="15" t="n">
        <v>10</v>
      </c>
      <c r="E7" s="17" t="inlineStr">
        <is>
          <t>https://leroymerlin.ru/search/?q=%D0%BA%D0%BE%D0%BD%D1%82%D0%B5%D0%B9%D0%BD%D0%B5%D1%80%20%D0%B4%D0%BB%D1%8F%20%D0%BA%D1%80%D1%83%D0%BF</t>
        </is>
      </c>
      <c r="F7" s="16" t="n">
        <v>199</v>
      </c>
      <c r="G7" s="15" t="n">
        <v>5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inlineStr">
        <is>
          <t>—</t>
        </is>
      </c>
      <c r="D8" s="15" t="n">
        <v>1</v>
      </c>
      <c r="E8" s="17" t="inlineStr">
        <is>
          <t>https://www.dns-shop.ru/search/?q=%D0%BD%D0%B0%D0%B1%D0%BE%D1%80%20%D0%BA%D0%B0%D1%81%D1%82%D1%80%D1%8E%D0%BB%D1%8C%20%D0%BD%D0%B5%D1%80%D0%B6%D0%B0%D0%B2%D0%B5%D1%8E%D1%89%D0%B0%D1%8F</t>
        </is>
      </c>
      <c r="F8" s="16" t="n">
        <v>4999</v>
      </c>
      <c r="G8" s="15" t="n">
        <v>10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inlineStr">
        <is>
          <t>—</t>
        </is>
      </c>
      <c r="D9" s="15" t="n">
        <v>1</v>
      </c>
      <c r="E9" s="17" t="inlineStr">
        <is>
          <t>https://www.dns-shop.ru/search/?q=%D0%BD%D0%B0%D0%B1%D0%BE%D1%80%20%D0%BA%D0%B0%D1%81%D1%82%D1%80%D1%8E%D0%BB%D1%8C</t>
        </is>
      </c>
      <c r="F9" s="16" t="n">
        <v>2499</v>
      </c>
      <c r="G9" s="15" t="n">
        <v>10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inlineStr">
        <is>
          <t>—</t>
        </is>
      </c>
      <c r="D10" s="15" t="n">
        <v>2</v>
      </c>
      <c r="E10" s="17" t="inlineStr">
        <is>
          <t>https://leroymerlin.ru/search/?q=%D0%BD%D0%BE%D0%B6%20%D1%81%D1%82%D0%BE%D0%BB%D0%BE%D0%B2%D1%8B%D0%B9</t>
        </is>
      </c>
      <c r="F10" s="16" t="n">
        <v>149</v>
      </c>
      <c r="G10" s="15" t="n">
        <v>5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inlineStr">
        <is>
          <t>—</t>
        </is>
      </c>
      <c r="D11" s="15" t="n">
        <v>1</v>
      </c>
      <c r="E11" s="17" t="inlineStr">
        <is>
          <t>https://leroymerlin.ru/search/?q=%D0%B4%D0%BE%D1%81%D0%BA%D0%B0%20%D1%80%D0%B0%D0%B7%D0%B4%D0%B5%D0%BB%D0%BE%D1%87%D0%BD%D0%B0%D1%8F</t>
        </is>
      </c>
      <c r="F11" s="16" t="n">
        <v>599</v>
      </c>
      <c r="G11" s="15" t="n">
        <v>3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inlineStr">
        <is>
          <t>—</t>
        </is>
      </c>
      <c r="D12" s="15" t="n">
        <v>2</v>
      </c>
      <c r="E12" s="17" t="inlineStr">
        <is>
          <t>https://leroymerlin.ru/search/?q=%D1%81%D0%B0%D0%BB%D0%B0%D1%82%D0%BD%D0%B8%D0%BA</t>
        </is>
      </c>
      <c r="F12" s="16" t="n">
        <v>399</v>
      </c>
      <c r="G12" s="15" t="n">
        <v>5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inlineStr">
        <is>
          <t>—</t>
        </is>
      </c>
      <c r="D13" s="15" t="n">
        <v>1</v>
      </c>
      <c r="E13" s="17" t="inlineStr">
        <is>
          <t>https://www.dns-shop.ru/search/?q=%D1%81%D0%BA%D0%BE%D0%B2%D0%BE%D1%80%D0%BE%D0%B4%D0%B0</t>
        </is>
      </c>
      <c r="F13" s="16" t="n">
        <v>3000</v>
      </c>
      <c r="G13" s="15" t="n">
        <v>5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inlineStr">
        <is>
          <t>—</t>
        </is>
      </c>
      <c r="D14" s="15" t="n">
        <v>6</v>
      </c>
      <c r="E14" s="17" t="inlineStr">
        <is>
          <t>https://leroymerlin.ru/search/?q=%D0%BB%D0%BE%D0%B6%D0%BA%D0%B0%20%D1%81%D1%82%D0%BE%D0%BB%D0%BE%D0%B2%D0%B0%D1%8F</t>
        </is>
      </c>
      <c r="F14" s="16" t="n">
        <v>59</v>
      </c>
      <c r="G14" s="15" t="n">
        <v>5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inlineStr">
        <is>
          <t>—</t>
        </is>
      </c>
      <c r="D15" s="15" t="n">
        <v>6</v>
      </c>
      <c r="E15" s="17" t="inlineStr">
        <is>
          <t>https://leroymerlin.ru/search/?q=%D1%82%D0%B0%D1%80%D0%B5%D0%BB%D0%BA%D0%B0%20%D0%B3%D0%BB%D1%83%D0%B1%D0%BE%D0%BA%D0%B0%D1%8F</t>
        </is>
      </c>
      <c r="F15" s="16" t="n">
        <v>249</v>
      </c>
      <c r="G15" s="15" t="n">
        <v>5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inlineStr">
        <is>
          <t>—</t>
        </is>
      </c>
      <c r="D16" s="15" t="n">
        <v>6</v>
      </c>
      <c r="E16" s="17" t="inlineStr">
        <is>
          <t>https://leroymerlin.ru/search/?q=%D1%82%D0%B0%D1%80%D0%B5%D0%BB%D0%BA%D0%B0%20%D0%BC%D0%B5%D0%BB%D0%BA%D0%B0%D1%8F</t>
        </is>
      </c>
      <c r="F16" s="16" t="n">
        <v>199</v>
      </c>
      <c r="G16" s="15" t="n">
        <v>5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inlineStr">
        <is>
          <t>—</t>
        </is>
      </c>
      <c r="D17" s="15" t="n">
        <v>1</v>
      </c>
      <c r="E17" s="17" t="inlineStr">
        <is>
          <t>https://leroymerlin.ru/search/?q=%D1%82%D0%B5%D1%80%D0%BA%D0%B0</t>
        </is>
      </c>
      <c r="F17" s="16" t="n">
        <v>399</v>
      </c>
      <c r="G17" s="15" t="n">
        <v>5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inlineStr">
        <is>
          <t>—</t>
        </is>
      </c>
      <c r="D18" s="15" t="n">
        <v>6</v>
      </c>
      <c r="E18" s="17" t="inlineStr">
        <is>
          <t>https://leroymerlin.ru/search/?q=%D0%BB%D0%BE%D0%B6%D0%BA%D0%B0%20%D1%87%D0%B0%D0%B9%D0%BD%D0%B0%D1%8F</t>
        </is>
      </c>
      <c r="F18" s="16" t="n">
        <v>49</v>
      </c>
      <c r="G18" s="15" t="n">
        <v>5</v>
      </c>
      <c r="H18" s="8">
        <f>IF(ISNUMBER(G18),IF(G18=0,0,F18*IF(D18=0,1,D18)/G18),IF(G18="неделя",F18*IF(D18=0,1,D18)*52,IF(G18="месяц",F18*IF(D18=0,1,D18)*12,F18*IF(D18=0,1,D18))))</f>
        <v/>
      </c>
      <c r="I18" s="8">
        <f>IF(H18=0,0,H18/12)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inlineStr">
        <is>
          <t>—</t>
        </is>
      </c>
      <c r="D19" s="15" t="n">
        <v>1</v>
      </c>
      <c r="E19" s="17" t="inlineStr">
        <is>
          <t>https://www.dns-shop.ru/search/?q=%D1%87%D0%B0%D0%B9%D0%BD%D0%B8%D0%BA%20tefal</t>
        </is>
      </c>
      <c r="F19" s="16" t="n">
        <v>2999</v>
      </c>
      <c r="G19" s="15" t="n">
        <v>7</v>
      </c>
      <c r="H19" s="8">
        <f>IF(ISNUMBER(G19),IF(G19=0,0,F19*IF(D19=0,1,D19)/G19),IF(G19="неделя",F19*IF(D19=0,1,D19)*52,IF(G19="месяц",F19*IF(D19=0,1,D19)*12,F19*IF(D19=0,1,D19))))</f>
        <v/>
      </c>
      <c r="I19" s="8">
        <f>IF(H19=0,0,H19/12)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inlineStr">
        <is>
          <t>—</t>
        </is>
      </c>
      <c r="D20" s="15" t="n">
        <v>6</v>
      </c>
      <c r="E20" s="17" t="inlineStr">
        <is>
          <t>https://leroymerlin.ru/search/?q=%D1%87%D0%B0%D1%88%D0%BA%D0%B0</t>
        </is>
      </c>
      <c r="F20" s="16" t="n">
        <v>199</v>
      </c>
      <c r="G20" s="15" t="n">
        <v>5</v>
      </c>
      <c r="H20" s="8">
        <f>IF(ISNUMBER(G20),IF(G20=0,0,F20*IF(D20=0,1,D20)/G20),IF(G20="неделя",F20*IF(D20=0,1,D20)*52,IF(G20="месяц",F20*IF(D20=0,1,D20)*12,F20*IF(D20=0,1,D20))))</f>
        <v/>
      </c>
      <c r="I20" s="8">
        <f>IF(H20=0,0,H20/12)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0" t="n"/>
      <c r="H22" s="11">
        <f>H5+H6+H7+H8+H9+H10+H11+H12+H13+H14+H15+H16+H17+H18+H19+H20</f>
        <v/>
      </c>
      <c r="I22" s="11">
        <f>IF(H22=0,0,H22/12)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0" t="n"/>
      <c r="H23" s="11">
        <f>H22/3</f>
        <v/>
      </c>
      <c r="I23" s="11">
        <f>I22/3</f>
        <v/>
      </c>
    </row>
  </sheetData>
  <mergeCells count="4">
    <mergeCell ref="A1:I1"/>
    <mergeCell ref="A22:G22"/>
    <mergeCell ref="A2:I2"/>
    <mergeCell ref="A23:G23"/>
  </mergeCells>
  <dataValidations count="1">
    <dataValidation sqref="C5:C20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inlineStr">
        <is>
          <t>—</t>
        </is>
      </c>
      <c r="D5" s="15" t="n">
        <v>1</v>
      </c>
      <c r="E5" s="17" t="inlineStr">
        <is>
          <t>https://www.dns-shop.ru/search/?q=%D0%BA%D0%BE%D0%BB%D0%BE%D0%BD%D0%BA%D0%B0%20sony</t>
        </is>
      </c>
      <c r="F5" s="16" t="n">
        <v>2000</v>
      </c>
      <c r="G5" s="15" t="n">
        <v>5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inlineStr">
        <is>
          <t>—</t>
        </is>
      </c>
      <c r="D6" s="15" t="n">
        <v>1</v>
      </c>
      <c r="E6" s="17" t="inlineStr">
        <is>
          <t>https://www.dns-shop.ru/search/?q=%D0%BC%D0%B8%D0%BA%D1%80%D0%BE%D0%B2%D0%BE%D0%BB%D0%BD%D0%BE%D0%B2%D0%BA%D0%B0</t>
        </is>
      </c>
      <c r="F6" s="16" t="n">
        <v>6999</v>
      </c>
      <c r="G6" s="15" t="n">
        <v>8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inlineStr">
        <is>
          <t>—</t>
        </is>
      </c>
      <c r="D7" s="15" t="n">
        <v>1</v>
      </c>
      <c r="E7" s="17" t="inlineStr">
        <is>
          <t>https://www.dns-shop.ru/search/?q=%D0%BC%D1%83%D0%BB%D1%8C%D1%82%D0%B8%D0%B2%D0%B0%D1%80%D0%BA%D0%B0</t>
        </is>
      </c>
      <c r="F7" s="16" t="n">
        <v>6999</v>
      </c>
      <c r="G7" s="15" t="n">
        <v>7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inlineStr">
        <is>
          <t>—</t>
        </is>
      </c>
      <c r="D8" s="15" t="n">
        <v>1</v>
      </c>
      <c r="E8" s="17" t="inlineStr">
        <is>
          <t>https://www.dns-shop.ru/search/?q=%D0%BC%D1%8F%D1%81%D0%BE%D1%80%D1%83%D0%B1%D0%BA%D0%B0</t>
        </is>
      </c>
      <c r="F8" s="16" t="n">
        <v>3999</v>
      </c>
      <c r="G8" s="15" t="n">
        <v>8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inlineStr">
        <is>
          <t>—</t>
        </is>
      </c>
      <c r="D9" s="15" t="n">
        <v>1</v>
      </c>
      <c r="E9" s="17" t="inlineStr">
        <is>
          <t>https://www.dns-shop.ru/search/?q=%D0%BF%D0%B0%D1%80%D0%BE%D0%B2%D0%B0%D1%80%D0%BA%D0%B0</t>
        </is>
      </c>
      <c r="F9" s="16" t="n">
        <v>4499</v>
      </c>
      <c r="G9" s="15" t="n">
        <v>7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inlineStr">
        <is>
          <t>—</t>
        </is>
      </c>
      <c r="D10" s="15" t="n">
        <v>1</v>
      </c>
      <c r="E10" s="17" t="inlineStr">
        <is>
          <t>https://www.dns-shop.ru/search/?q=%D0%BF%D0%BB%D0%B8%D1%82%D0%B0%20%D0%B3%D0%B0%D0%B7%D0%BE%D0%B2%D0%B0%D1%8F</t>
        </is>
      </c>
      <c r="F10" s="16" t="n">
        <v>24999</v>
      </c>
      <c r="G10" s="15" t="n">
        <v>10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inlineStr">
        <is>
          <t>—</t>
        </is>
      </c>
      <c r="D11" s="15" t="n">
        <v>1</v>
      </c>
      <c r="E11" s="17" t="inlineStr">
        <is>
          <t>https://www.dns-shop.ru/search/?q=%D1%81%D0%BE%D0%BA%D0%BE%D0%B2%D1%8B%D0%B6%D0%B8%D0%BC%D0%B0%D0%BB%D0%BA%D0%B0</t>
        </is>
      </c>
      <c r="F11" s="16" t="n">
        <v>4999</v>
      </c>
      <c r="G11" s="15" t="n">
        <v>7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inlineStr">
        <is>
          <t>—</t>
        </is>
      </c>
      <c r="D12" s="15" t="n">
        <v>1</v>
      </c>
      <c r="E12" s="17" t="inlineStr">
        <is>
          <t>https://www.dns-shop.ru/search/?q=%D1%81%D1%82%D0%B8%D1%80%D0%B0%D0%BB%D1%8C%D0%BD%D0%B0%D1%8F%20%D0%BC%D0%B0%D1%88%D0%B8%D0%BD%D0%B0%20Bosch</t>
        </is>
      </c>
      <c r="F12" s="16" t="n">
        <v>45000</v>
      </c>
      <c r="G12" s="15" t="n">
        <v>8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inlineStr">
        <is>
          <t>—</t>
        </is>
      </c>
      <c r="D13" s="15" t="n">
        <v>1</v>
      </c>
      <c r="E13" s="17" t="inlineStr">
        <is>
          <t>https://www.dns-shop.ru/search/?q=%D1%82%D0%B5%D0%BB%D0%B5%D0%B2%D0%B8%D0%B7%D0%BE%D1%80</t>
        </is>
      </c>
      <c r="F13" s="16" t="n">
        <v>10000</v>
      </c>
      <c r="G13" s="15" t="n">
        <v>7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inlineStr">
        <is>
          <t>—</t>
        </is>
      </c>
      <c r="D14" s="15" t="n">
        <v>1</v>
      </c>
      <c r="E14" s="17" t="inlineStr">
        <is>
          <t>https://www.dns-shop.ru/search/?q=%D1%82%D0%BE%D1%81%D1%82%D0%B5%D1%80</t>
        </is>
      </c>
      <c r="F14" s="16" t="n">
        <v>1999</v>
      </c>
      <c r="G14" s="15" t="n">
        <v>5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inlineStr">
        <is>
          <t>—</t>
        </is>
      </c>
      <c r="D15" s="15" t="n">
        <v>1</v>
      </c>
      <c r="E15" s="17" t="inlineStr">
        <is>
          <t>https://barrier.ru/</t>
        </is>
      </c>
      <c r="F15" s="16" t="n">
        <v>999</v>
      </c>
      <c r="G15" s="15" t="n">
        <v>2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inlineStr">
        <is>
          <t>—</t>
        </is>
      </c>
      <c r="D16" s="15" t="n">
        <v>1</v>
      </c>
      <c r="E16" s="17" t="inlineStr">
        <is>
          <t>https://www.dns-shop.ru/search/?q=%D1%85%D0%BE%D0%BB%D0%BE%D0%B4%D0%B8%D0%BB%D1%8C%D0%BD%D0%B8%D0%BA</t>
        </is>
      </c>
      <c r="F16" s="16" t="n">
        <v>45000</v>
      </c>
      <c r="G16" s="15" t="n">
        <v>10</v>
      </c>
      <c r="H16" s="8">
        <f>IF(ISNUMBER(G16),IF(G16=0,0,F16*IF(D16=0,1,D16)/G16),IF(G16="неделя",F16*IF(D16=0,1,D16)*52,IF(G16="месяц",F16*IF(D16=0,1,D16)*12,F16*IF(D16=0,1,D16))))</f>
        <v/>
      </c>
      <c r="I16" s="8">
        <f>IF(H16=0,0,H16/12)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inlineStr">
        <is>
          <t>—</t>
        </is>
      </c>
      <c r="D17" s="15" t="n">
        <v>1</v>
      </c>
      <c r="E17" s="17" t="inlineStr">
        <is>
          <t>https://www.dns-shop.ru/search/?q=%D1%87%D0%B0%D0%B9%D0%BD%D0%B8%D0%BA</t>
        </is>
      </c>
      <c r="F17" s="16" t="n">
        <v>1999</v>
      </c>
      <c r="G17" s="15" t="n">
        <v>7</v>
      </c>
      <c r="H17" s="8">
        <f>IF(ISNUMBER(G17),IF(G17=0,0,F17*IF(D17=0,1,D17)/G17),IF(G17="неделя",F17*IF(D17=0,1,D17)*52,IF(G17="месяц",F17*IF(D17=0,1,D17)*12,F17*IF(D17=0,1,D17))))</f>
        <v/>
      </c>
      <c r="I17" s="8">
        <f>IF(H17=0,0,H17/12)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0" t="n"/>
      <c r="H19" s="11">
        <f>H5+H6+H7+H8+H9+H10+H11+H12+H13+H14+H15+H16+H17</f>
        <v/>
      </c>
      <c r="I19" s="11">
        <f>IF(H19=0,0,H19/12)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0" t="n"/>
      <c r="H20" s="11">
        <f>H19/3</f>
        <v/>
      </c>
      <c r="I20" s="11">
        <f>I19/3</f>
        <v/>
      </c>
    </row>
  </sheetData>
  <mergeCells count="4">
    <mergeCell ref="A1:I1"/>
    <mergeCell ref="A20:G20"/>
    <mergeCell ref="A19:G19"/>
    <mergeCell ref="A2:I2"/>
  </mergeCells>
  <dataValidations count="1">
    <dataValidation sqref="C5:C17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inlineStr">
        <is>
          <t>—</t>
        </is>
      </c>
      <c r="D5" s="15" t="n">
        <v>1</v>
      </c>
      <c r="E5" s="17" t="inlineStr">
        <is>
          <t>https://leroymerlin.ru/search/?q=%D0%B3%D0%BB%D0%B0%D0%B4%D0%B8%D0%BB%D1%8C%D0%BD%D0%B0%D1%8F%20%D0%B4%D0%BE%D1%81%D0%BA%D0%B0</t>
        </is>
      </c>
      <c r="F5" s="16" t="n">
        <v>2499</v>
      </c>
      <c r="G5" s="15" t="n">
        <v>7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inlineStr">
        <is>
          <t>—</t>
        </is>
      </c>
      <c r="D6" s="15" t="n">
        <v>1</v>
      </c>
      <c r="E6" s="17" t="inlineStr">
        <is>
          <t>https://lemanapro.ru/catalogue/kuhni/</t>
        </is>
      </c>
      <c r="F6" s="16" t="n">
        <v>80000</v>
      </c>
      <c r="G6" s="15" t="n">
        <v>10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inlineStr">
        <is>
          <t>—</t>
        </is>
      </c>
      <c r="D7" s="15" t="n">
        <v>1</v>
      </c>
      <c r="E7" s="17" t="inlineStr">
        <is>
          <t>https://leroymerlin.ru/search/?q=%D0%BC%D1%83%D1%81%D0%BE%D1%80%D0%BD%D0%BE%D0%B5%20%D0%B2%D0%B5%D0%B4%D1%80%D0%BE</t>
        </is>
      </c>
      <c r="F7" s="16" t="n">
        <v>3499</v>
      </c>
      <c r="G7" s="15" t="n">
        <v>7</v>
      </c>
      <c r="H7" s="8">
        <f>IF(ISNUMBER(G7),IF(G7=0,0,F7*IF(D7=0,1,D7)/G7),IF(G7="неделя",F7*IF(D7=0,1,D7)*52,IF(G7="месяц",F7*IF(D7=0,1,D7)*12,F7*IF(D7=0,1,D7))))</f>
        <v/>
      </c>
      <c r="I7" s="8">
        <f>IF(H7=0,0,H7/12)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inlineStr">
        <is>
          <t>—</t>
        </is>
      </c>
      <c r="D8" s="15" t="n">
        <v>1</v>
      </c>
      <c r="E8" s="17" t="inlineStr">
        <is>
          <t>https://www.dns-shop.ru/search/?q=%D0%BE%D1%82%D0%BF%D0%B0%D1%80%D0%B8%D0%B2%D0%B0%D1%82%D0%B5%D0%BB%D1%8C</t>
        </is>
      </c>
      <c r="F8" s="16" t="n">
        <v>3999</v>
      </c>
      <c r="G8" s="15" t="n">
        <v>5</v>
      </c>
      <c r="H8" s="8">
        <f>IF(ISNUMBER(G8),IF(G8=0,0,F8*IF(D8=0,1,D8)/G8),IF(G8="неделя",F8*IF(D8=0,1,D8)*52,IF(G8="месяц",F8*IF(D8=0,1,D8)*12,F8*IF(D8=0,1,D8))))</f>
        <v/>
      </c>
      <c r="I8" s="8">
        <f>IF(H8=0,0,H8/12)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inlineStr">
        <is>
          <t>—</t>
        </is>
      </c>
      <c r="D9" s="15" t="n">
        <v>2</v>
      </c>
      <c r="E9" s="17" t="inlineStr">
        <is>
          <t>https://leroymerlin.ru/search/?q=%D0%BF%D0%BE%D0%BB%D0%BE%D1%82%D0%B5%D0%BD%D1%86%D0%B5</t>
        </is>
      </c>
      <c r="F9" s="16" t="n">
        <v>399</v>
      </c>
      <c r="G9" s="15" t="n">
        <v>2</v>
      </c>
      <c r="H9" s="8">
        <f>IF(ISNUMBER(G9),IF(G9=0,0,F9*IF(D9=0,1,D9)/G9),IF(G9="неделя",F9*IF(D9=0,1,D9)*52,IF(G9="месяц",F9*IF(D9=0,1,D9)*12,F9*IF(D9=0,1,D9))))</f>
        <v/>
      </c>
      <c r="I9" s="8">
        <f>IF(H9=0,0,H9/12)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inlineStr">
        <is>
          <t>—</t>
        </is>
      </c>
      <c r="D10" s="15" t="n">
        <v>1</v>
      </c>
      <c r="E10" s="17" t="inlineStr">
        <is>
          <t>https://www.dns-shop.ru/search/?q=%D0%BF%D1%8B%D0%BB%D0%B5%D1%81%D0%BE%D1%81</t>
        </is>
      </c>
      <c r="F10" s="16" t="n">
        <v>9999</v>
      </c>
      <c r="G10" s="15" t="n">
        <v>7</v>
      </c>
      <c r="H10" s="8">
        <f>IF(ISNUMBER(G10),IF(G10=0,0,F10*IF(D10=0,1,D10)/G10),IF(G10="неделя",F10*IF(D10=0,1,D10)*52,IF(G10="месяц",F10*IF(D10=0,1,D10)*12,F10*IF(D10=0,1,D10))))</f>
        <v/>
      </c>
      <c r="I10" s="8">
        <f>IF(H10=0,0,H10/12)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inlineStr">
        <is>
          <t>—</t>
        </is>
      </c>
      <c r="D11" s="15" t="n">
        <v>1</v>
      </c>
      <c r="E11" s="17" t="inlineStr">
        <is>
          <t>https://leroymerlin.ru/search/?q=%D1%81%D0%BE%D0%B2%D0%BE%D0%BA%20%D0%BC%D0%B5%D1%82%D0%BB%D0%B0</t>
        </is>
      </c>
      <c r="F11" s="16" t="n">
        <v>699</v>
      </c>
      <c r="G11" s="15" t="n">
        <v>3</v>
      </c>
      <c r="H11" s="8">
        <f>IF(ISNUMBER(G11),IF(G11=0,0,F11*IF(D11=0,1,D11)/G11),IF(G11="неделя",F11*IF(D11=0,1,D11)*52,IF(G11="месяц",F11*IF(D11=0,1,D11)*12,F11*IF(D11=0,1,D11))))</f>
        <v/>
      </c>
      <c r="I11" s="8">
        <f>IF(H11=0,0,H11/12)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inlineStr">
        <is>
          <t>—</t>
        </is>
      </c>
      <c r="D12" s="15" t="n">
        <v>1</v>
      </c>
      <c r="E12" s="17" t="inlineStr">
        <is>
          <t>https://leroymerlin.ru/search/?q=%D1%81%D1%82%D0%BE%D0%BB%20%D0%B6%D1%83%D1%80%D0%BD%D0%B0%D0%BB%D1%8C%D0%BD%D1%8B%D0%B9</t>
        </is>
      </c>
      <c r="F12" s="16" t="n">
        <v>4999</v>
      </c>
      <c r="G12" s="15" t="n">
        <v>10</v>
      </c>
      <c r="H12" s="8">
        <f>IF(ISNUMBER(G12),IF(G12=0,0,F12*IF(D12=0,1,D12)/G12),IF(G12="неделя",F12*IF(D12=0,1,D12)*52,IF(G12="месяц",F12*IF(D12=0,1,D12)*12,F12*IF(D12=0,1,D12))))</f>
        <v/>
      </c>
      <c r="I12" s="8">
        <f>IF(H12=0,0,H12/12)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inlineStr">
        <is>
          <t>—</t>
        </is>
      </c>
      <c r="D13" s="15" t="n">
        <v>1</v>
      </c>
      <c r="E13" s="17" t="inlineStr">
        <is>
          <t>https://leroymerlin.ru/search/?q=%D1%82%D1%83%D0%BC%D0%B1%D0%B0%20%D0%BF%D0%BE%D0%B4%20%D1%82%D0%B5%D0%BB%D0%B5%D0%B2%D0%B8%D0%B7%D0%BE%D1%80</t>
        </is>
      </c>
      <c r="F13" s="16" t="n">
        <v>7990</v>
      </c>
      <c r="G13" s="15" t="n">
        <v>10</v>
      </c>
      <c r="H13" s="8">
        <f>IF(ISNUMBER(G13),IF(G13=0,0,F13*IF(D13=0,1,D13)/G13),IF(G13="неделя",F13*IF(D13=0,1,D13)*52,IF(G13="месяц",F13*IF(D13=0,1,D13)*12,F13*IF(D13=0,1,D13))))</f>
        <v/>
      </c>
      <c r="I13" s="8">
        <f>IF(H13=0,0,H13/12)</f>
        <v/>
      </c>
    </row>
    <row r="14" ht="20" customHeight="1">
      <c r="A14" s="14" t="n">
        <v>10</v>
      </c>
      <c r="B14" s="13" t="inlineStr">
        <is>
          <t>Утюг</t>
        </is>
      </c>
      <c r="C14" s="15" t="inlineStr">
        <is>
          <t>—</t>
        </is>
      </c>
      <c r="D14" s="15" t="n">
        <v>1</v>
      </c>
      <c r="E14" s="17" t="inlineStr">
        <is>
          <t>https://www.dns-shop.ru/search/?q=%D1%83%D1%82%D1%8E%D0%B3</t>
        </is>
      </c>
      <c r="F14" s="16" t="n">
        <v>2499</v>
      </c>
      <c r="G14" s="15" t="n">
        <v>5</v>
      </c>
      <c r="H14" s="8">
        <f>IF(ISNUMBER(G14),IF(G14=0,0,F14*IF(D14=0,1,D14)/G14),IF(G14="неделя",F14*IF(D14=0,1,D14)*52,IF(G14="месяц",F14*IF(D14=0,1,D14)*12,F14*IF(D14=0,1,D14))))</f>
        <v/>
      </c>
      <c r="I14" s="8">
        <f>IF(H14=0,0,H14/12)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inlineStr">
        <is>
          <t>—</t>
        </is>
      </c>
      <c r="D15" s="15" t="n">
        <v>1</v>
      </c>
      <c r="E15" s="17" t="inlineStr">
        <is>
          <t>https://leroymerlin.ru/search/?q=%D1%88%D0%BA%D0%B0%D1%84%20%D1%83%D0%B3%D0%BB%D0%BE%D0%B2%D0%BE%D0%B9</t>
        </is>
      </c>
      <c r="F15" s="16" t="n">
        <v>19990</v>
      </c>
      <c r="G15" s="15" t="n">
        <v>10</v>
      </c>
      <c r="H15" s="8">
        <f>IF(ISNUMBER(G15),IF(G15=0,0,F15*IF(D15=0,1,D15)/G15),IF(G15="неделя",F15*IF(D15=0,1,D15)*52,IF(G15="месяц",F15*IF(D15=0,1,D15)*12,F15*IF(D15=0,1,D15))))</f>
        <v/>
      </c>
      <c r="I15" s="8">
        <f>IF(H15=0,0,H15/12)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0" t="n"/>
      <c r="H17" s="11">
        <f>H5+H6+H7+H8+H9+H10+H11+H12+H13+H14+H15</f>
        <v/>
      </c>
      <c r="I17" s="11">
        <f>IF(H17=0,0,H17/12)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0" t="n"/>
      <c r="H18" s="11">
        <f>H17/3</f>
        <v/>
      </c>
      <c r="I18" s="11">
        <f>I17/3</f>
        <v/>
      </c>
    </row>
  </sheetData>
  <mergeCells count="4">
    <mergeCell ref="A1:I1"/>
    <mergeCell ref="A2:I2"/>
    <mergeCell ref="A17:G17"/>
    <mergeCell ref="A18:G18"/>
  </mergeCells>
  <dataValidations count="1">
    <dataValidation sqref="C5:C15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3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Ссылка</t>
        </is>
      </c>
      <c r="F4" s="3" t="inlineStr">
        <is>
          <t>Стоимость</t>
        </is>
      </c>
      <c r="G4" s="3" t="inlineStr">
        <is>
          <t>Срок службы (лет)</t>
        </is>
      </c>
      <c r="H4" s="3" t="inlineStr">
        <is>
          <t>В год, ₽</t>
        </is>
      </c>
      <c r="I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inlineStr">
        <is>
          <t>—</t>
        </is>
      </c>
      <c r="D5" s="15" t="n">
        <v>1</v>
      </c>
      <c r="E5" s="17" t="inlineStr">
        <is>
          <t>https://leroymerlin.ru/search/?q=%D0%B5%D0%BB%D0%BA%D0%B0%20%D0%B8%D1%81%D0%BA%D1%83%D1%81%D1%81%D1%82%D0%B2%D0%B5%D0%BD%D0%BD%D0%B0%D1%8F</t>
        </is>
      </c>
      <c r="F5" s="16" t="n">
        <v>25000</v>
      </c>
      <c r="G5" s="15" t="n">
        <v>10</v>
      </c>
      <c r="H5" s="8">
        <f>IF(ISNUMBER(G5),IF(G5=0,0,F5*IF(D5=0,1,D5)/G5),IF(G5="неделя",F5*IF(D5=0,1,D5)*52,IF(G5="месяц",F5*IF(D5=0,1,D5)*12,F5*IF(D5=0,1,D5))))</f>
        <v/>
      </c>
      <c r="I5" s="8">
        <f>IF(H5=0,0,H5/12)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inlineStr">
        <is>
          <t>—</t>
        </is>
      </c>
      <c r="D6" s="15" t="n">
        <v>1</v>
      </c>
      <c r="E6" s="17" t="inlineStr">
        <is>
          <t>https://leroymerlin.ru/search/?q=%D1%83%D0%BA%D1%80%D0%B0%D1%88%D0%B5%D0%BD%D0%B8%D1%8F%20%D0%BD%D0%B0%20%D0%B5%D0%BB%D0%BA%D1%83</t>
        </is>
      </c>
      <c r="F6" s="16" t="n">
        <v>15000</v>
      </c>
      <c r="G6" s="15" t="n">
        <v>10</v>
      </c>
      <c r="H6" s="8">
        <f>IF(ISNUMBER(G6),IF(G6=0,0,F6*IF(D6=0,1,D6)/G6),IF(G6="неделя",F6*IF(D6=0,1,D6)*52,IF(G6="месяц",F6*IF(D6=0,1,D6)*12,F6*IF(D6=0,1,D6))))</f>
        <v/>
      </c>
      <c r="I6" s="8">
        <f>IF(H6=0,0,H6/12)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0" t="n"/>
      <c r="H8" s="11">
        <f>H5+H6</f>
        <v/>
      </c>
      <c r="I8" s="11">
        <f>IF(H8=0,0,H8/12)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0" t="n"/>
      <c r="H9" s="11">
        <f>H8/3</f>
        <v/>
      </c>
      <c r="I9" s="11">
        <f>I8/3</f>
        <v/>
      </c>
    </row>
  </sheetData>
  <mergeCells count="4">
    <mergeCell ref="A1:I1"/>
    <mergeCell ref="A8:G8"/>
    <mergeCell ref="A2:I2"/>
    <mergeCell ref="A9:G9"/>
  </mergeCells>
  <dataValidations count="1">
    <dataValidation sqref="C5:C6" showDropDown="0" showInputMessage="0" showErrorMessage="0" allowBlank="0" type="list">
      <formula1>"—,в школу"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Аренда и коммунальные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5" t="inlineStr">
        <is>
          <t>—</t>
        </is>
      </c>
      <c r="D5" s="16" t="n">
        <v>15000</v>
      </c>
      <c r="E5" s="15" t="inlineStr">
        <is>
          <t>месяц</t>
        </is>
      </c>
      <c r="F5" s="8">
        <f>IF(ISNUMBER(E5),IF(E5=0,0,D5*1/E5),IF(E5="неделя",D5*1*52,IF(E5="месяц",D5*1*12,D5*1)))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Вода</t>
        </is>
      </c>
      <c r="C6" s="15" t="inlineStr">
        <is>
          <t>—</t>
        </is>
      </c>
      <c r="D6" s="16" t="n">
        <v>1100</v>
      </c>
      <c r="E6" s="15" t="inlineStr">
        <is>
          <t>месяц</t>
        </is>
      </c>
      <c r="F6" s="8">
        <f>IF(ISNUMBER(E6),IF(E6=0,0,D6*1/E6),IF(E6="неделя",D6*1*52,IF(E6="месяц",D6*1*12,D6*1)))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5" t="inlineStr">
        <is>
          <t>—</t>
        </is>
      </c>
      <c r="D7" s="16" t="n">
        <v>5400</v>
      </c>
      <c r="E7" s="15" t="inlineStr">
        <is>
          <t>месяц</t>
        </is>
      </c>
      <c r="F7" s="8">
        <f>IF(ISNUMBER(E7),IF(E7=0,0,D7*1/E7),IF(E7="неделя",D7*1*52,IF(E7="месяц",D7*1*12,D7*1)))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Интернет</t>
        </is>
      </c>
      <c r="C8" s="15" t="inlineStr">
        <is>
          <t>—</t>
        </is>
      </c>
      <c r="D8" s="16" t="n">
        <v>600</v>
      </c>
      <c r="E8" s="15" t="inlineStr">
        <is>
          <t>месяц</t>
        </is>
      </c>
      <c r="F8" s="8">
        <f>IF(ISNUMBER(E8),IF(E8=0,0,D8*1/E8),IF(E8="неделя",D8*1*52,IF(E8="месяц",D8*1*12,D8*1)))</f>
        <v/>
      </c>
      <c r="G8" s="8">
        <f>IF(F8=0,0,F8/12)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0" t="n"/>
      <c r="F11" s="11">
        <f>F10/3</f>
        <v/>
      </c>
      <c r="G11" s="11">
        <f>G10/3</f>
        <v/>
      </c>
    </row>
  </sheetData>
  <mergeCells count="4">
    <mergeCell ref="A11:E11"/>
    <mergeCell ref="A2:G2"/>
    <mergeCell ref="A1:G1"/>
    <mergeCell ref="A10:E10"/>
  </mergeCells>
  <dataValidations count="2">
    <dataValidation sqref="E5:E8" showDropDown="0" showInputMessage="0" showErrorMessage="0" allowBlank="0" type="list">
      <formula1>"неделя,месяц,год"</formula1>
    </dataValidation>
    <dataValidation sqref="C5:C8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Количество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inlineStr">
        <is>
          <t>—</t>
        </is>
      </c>
      <c r="D5" s="15" t="n">
        <v>3</v>
      </c>
      <c r="E5" s="16" t="n">
        <v>20000</v>
      </c>
      <c r="F5" s="15" t="inlineStr">
        <is>
          <t>год</t>
        </is>
      </c>
      <c r="G5" s="8">
        <f>IF(ISNUMBER(F5),IF(F5=0,0,E5*IF(D5=0,1,D5)/F5),IF(F5="неделя",E5*IF(D5=0,1,D5)*52,IF(F5="месяц",E5*IF(D5=0,1,D5)*12,E5*IF(D5=0,1,D5))))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inlineStr">
        <is>
          <t>—</t>
        </is>
      </c>
      <c r="D6" s="15" t="n">
        <v>10</v>
      </c>
      <c r="E6" s="16" t="n">
        <v>5000</v>
      </c>
      <c r="F6" s="15" t="inlineStr">
        <is>
          <t>год</t>
        </is>
      </c>
      <c r="G6" s="8">
        <f>IF(ISNUMBER(F6),IF(F6=0,0,E6*IF(D6=0,1,D6)/F6),IF(F6="неделя",E6*IF(D6=0,1,D6)*52,IF(F6="месяц",E6*IF(D6=0,1,D6)*12,E6*IF(D6=0,1,D6))))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dataValidations count="2">
    <dataValidation sqref="F5:F6" showDropDown="0" showInputMessage="0" showErrorMessage="0" allowBlank="0" type="list">
      <formula1>"неделя,месяц,год"</formula1>
    </dataValidation>
    <dataValidation sqref="C5:C6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Назначение</t>
        </is>
      </c>
      <c r="D4" s="3" t="inlineStr">
        <is>
          <t>Стоимость</t>
        </is>
      </c>
      <c r="E4" s="3" t="inlineStr">
        <is>
          <t>Срок / 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5" t="inlineStr">
        <is>
          <t>—</t>
        </is>
      </c>
      <c r="D5" s="16" t="n">
        <v>550000</v>
      </c>
      <c r="E5" s="15" t="n">
        <v>10</v>
      </c>
      <c r="F5" s="8">
        <f>IF(ISNUMBER(E5),IF(E5=0,0,D5*1/E5),IF(E5="неделя",D5*1*52,IF(E5="месяц",D5*1*12,D5*1)))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Бензин</t>
        </is>
      </c>
      <c r="C6" s="15" t="inlineStr">
        <is>
          <t>—</t>
        </is>
      </c>
      <c r="D6" s="16" t="n">
        <v>9360</v>
      </c>
      <c r="E6" s="15" t="inlineStr">
        <is>
          <t>месяц</t>
        </is>
      </c>
      <c r="F6" s="8">
        <f>IF(ISNUMBER(E6),IF(E6=0,0,D6*1/E6),IF(E6="неделя",D6*1*52,IF(E6="месяц",D6*1*12,D6*1)))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5" t="inlineStr">
        <is>
          <t>—</t>
        </is>
      </c>
      <c r="D7" s="16" t="n">
        <v>50000</v>
      </c>
      <c r="E7" s="15" t="n">
        <v>2</v>
      </c>
      <c r="F7" s="8">
        <f>IF(ISNUMBER(E7),IF(E7=0,0,D7*1/E7),IF(E7="неделя",D7*1*52,IF(E7="месяц",D7*1*12,D7*1)))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5" t="inlineStr">
        <is>
          <t>—</t>
        </is>
      </c>
      <c r="D8" s="16" t="n">
        <v>50000</v>
      </c>
      <c r="E8" s="15" t="n">
        <v>2</v>
      </c>
      <c r="F8" s="8">
        <f>IF(ISNUMBER(E8),IF(E8=0,0,D8*1/E8),IF(E8="неделя",D8*1*52,IF(E8="месяц",D8*1*12,D8*1)))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5" t="inlineStr">
        <is>
          <t>—</t>
        </is>
      </c>
      <c r="D9" s="16" t="n">
        <v>12800</v>
      </c>
      <c r="E9" s="15" t="inlineStr">
        <is>
          <t>год</t>
        </is>
      </c>
      <c r="F9" s="8">
        <f>IF(ISNUMBER(E9),IF(E9=0,0,D9*1/E9),IF(E9="неделя",D9*1*52,IF(E9="месяц",D9*1*12,D9*1)))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5" t="inlineStr">
        <is>
          <t>—</t>
        </is>
      </c>
      <c r="D10" s="16" t="n">
        <v>250</v>
      </c>
      <c r="E10" s="15" t="inlineStr">
        <is>
          <t>месяц</t>
        </is>
      </c>
      <c r="F10" s="8">
        <f>IF(ISNUMBER(E10),IF(E10=0,0,D10*1/E10),IF(E10="неделя",D10*1*52,IF(E10="месяц",D10*1*12,D10*1)))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5" t="inlineStr">
        <is>
          <t>—</t>
        </is>
      </c>
      <c r="D11" s="16" t="n">
        <v>50000</v>
      </c>
      <c r="E11" s="15" t="n">
        <v>2</v>
      </c>
      <c r="F11" s="8">
        <f>IF(ISNUMBER(E11),IF(E11=0,0,D11*1/E11),IF(E11="неделя",D11*1*52,IF(E11="месяц",D11*1*12,D11*1)))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5" t="inlineStr">
        <is>
          <t>—</t>
        </is>
      </c>
      <c r="D12" s="16" t="n">
        <v>50000</v>
      </c>
      <c r="E12" s="15" t="n">
        <v>2</v>
      </c>
      <c r="F12" s="8">
        <f>IF(ISNUMBER(E12),IF(E12=0,0,D12*1/E12),IF(E12="неделя",D12*1*52,IF(E12="месяц",D12*1*12,D12*1)))</f>
        <v/>
      </c>
      <c r="G12" s="8">
        <f>IF(F12=0,0,F12/12)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0" t="n"/>
      <c r="F15" s="11">
        <f>F14/3</f>
        <v/>
      </c>
      <c r="G15" s="11">
        <f>G14/3</f>
        <v/>
      </c>
    </row>
  </sheetData>
  <mergeCells count="4">
    <mergeCell ref="A15:E15"/>
    <mergeCell ref="A2:G2"/>
    <mergeCell ref="A1:G1"/>
    <mergeCell ref="A14:E14"/>
  </mergeCells>
  <dataValidations count="1">
    <dataValidation sqref="C5:C12" showDropDown="0" showInputMessage="0" showErrorMessage="0" allowBlank="0" type="list">
      <formula1>"—,в школу"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2026-08-13T05:30:35Z</dcterms:created>
  <dcterms:modified xmlns:dcterms="http://purl.org/dc/terms/" xmlns:xsi="http://www.w3.org/2001/XMLSchema-instance" xsi:type="dcterms:W3CDTF">2026-08-13T05:30:36Z</dcterms:modified>
</cp:coreProperties>
</file>