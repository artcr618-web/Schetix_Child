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Школа и образование покупки" sheetId="14" state="visible" r:id="rId14"/>
    <sheet xmlns:r="http://schemas.openxmlformats.org/officeDocument/2006/relationships" name="Лекарства" sheetId="15" state="visible" r:id="rId15"/>
    <sheet xmlns:r="http://schemas.openxmlformats.org/officeDocument/2006/relationships" name="Медицинские услуги" sheetId="16" state="visible" r:id="rId16"/>
    <sheet xmlns:r="http://schemas.openxmlformats.org/officeDocument/2006/relationships" name="Карманные расходы" sheetId="17" state="visible" r:id="rId17"/>
    <sheet xmlns:r="http://schemas.openxmlformats.org/officeDocument/2006/relationships" name="Оборудование расходы" sheetId="18" state="visible" r:id="rId18"/>
    <sheet xmlns:r="http://schemas.openxmlformats.org/officeDocument/2006/relationships" name="Праздники расходы" sheetId="19" state="visible" r:id="rId19"/>
    <sheet xmlns:r="http://schemas.openxmlformats.org/officeDocument/2006/relationships" name="Хобби и развлечения расходы" sheetId="20" state="visible" r:id="rId20"/>
    <sheet xmlns:r="http://schemas.openxmlformats.org/officeDocument/2006/relationships" name="Бытовая косметика покупки" sheetId="21" state="visible" r:id="rId21"/>
    <sheet xmlns:r="http://schemas.openxmlformats.org/officeDocument/2006/relationships" name="Бытовая посуда покупки" sheetId="22" state="visible" r:id="rId22"/>
    <sheet xmlns:r="http://schemas.openxmlformats.org/officeDocument/2006/relationships" name="Бытовая техника покупки" sheetId="23" state="visible" r:id="rId23"/>
    <sheet xmlns:r="http://schemas.openxmlformats.org/officeDocument/2006/relationships" name="Мебель и хозяйство покупки" sheetId="24" state="visible" r:id="rId24"/>
    <sheet xmlns:r="http://schemas.openxmlformats.org/officeDocument/2006/relationships" name="Праздники покупки" sheetId="25" state="visible" r:id="rId25"/>
    <sheet xmlns:r="http://schemas.openxmlformats.org/officeDocument/2006/relationships" name="Аренда и коммунальные платежи р" sheetId="26" state="visible" r:id="rId26"/>
    <sheet xmlns:r="http://schemas.openxmlformats.org/officeDocument/2006/relationships" name="Хобби и развлечения расходы 2" sheetId="27" state="visible" r:id="rId27"/>
    <sheet xmlns:r="http://schemas.openxmlformats.org/officeDocument/2006/relationships" name="Транспорт расходы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'Сводка'!$A$5:$A$29</f>
            </numRef>
          </cat>
          <val>
            <numRef>
              <f>'Сводка'!$B$5:$B$29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1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2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4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Школа и образование покупки</t>
        </is>
      </c>
      <c r="B15" s="8">
        <f>'Школа и образование покупки'!G52</f>
        <v/>
      </c>
      <c r="C15" s="8">
        <f>'Школа и образование покупки'!H52</f>
        <v/>
      </c>
    </row>
    <row r="16">
      <c r="A16" s="9" t="inlineStr">
        <is>
          <t>Лекарства</t>
        </is>
      </c>
      <c r="B16" s="8">
        <f>'Лекарства'!G14</f>
        <v/>
      </c>
      <c r="C16" s="8">
        <f>'Лекарства'!H14</f>
        <v/>
      </c>
    </row>
    <row r="17">
      <c r="A17" s="7" t="inlineStr">
        <is>
          <t>Медицинские услуги</t>
        </is>
      </c>
      <c r="B17" s="8">
        <f>'Медицинские услуги'!G7</f>
        <v/>
      </c>
      <c r="C17" s="8">
        <f>'Медицинские услуги'!H7</f>
        <v/>
      </c>
    </row>
    <row r="18">
      <c r="A18" s="9" t="inlineStr">
        <is>
          <t>Карманные расходы</t>
        </is>
      </c>
      <c r="B18" s="8">
        <f>'Карманные расходы'!F7</f>
        <v/>
      </c>
      <c r="C18" s="8">
        <f>'Карманные расходы'!G7</f>
        <v/>
      </c>
    </row>
    <row r="19">
      <c r="A19" s="7" t="inlineStr">
        <is>
          <t>Оборудование расходы</t>
        </is>
      </c>
      <c r="B19" s="8">
        <f>'Оборудование расходы'!F7</f>
        <v/>
      </c>
      <c r="C19" s="8">
        <f>'Оборудование расходы'!G7</f>
        <v/>
      </c>
    </row>
    <row r="20">
      <c r="A20" s="9" t="inlineStr">
        <is>
          <t>Праздники расходы</t>
        </is>
      </c>
      <c r="B20" s="8">
        <f>'Праздники расходы'!F14</f>
        <v/>
      </c>
      <c r="C20" s="8">
        <f>'Праздники расходы'!G14</f>
        <v/>
      </c>
    </row>
    <row r="21">
      <c r="A21" s="7" t="inlineStr">
        <is>
          <t>Хобби и развлечения расходы</t>
        </is>
      </c>
      <c r="B21" s="8">
        <f>'Хобби и развлечения расходы'!F12</f>
        <v/>
      </c>
      <c r="C21" s="8">
        <f>'Хобби и развлечения расходы'!G12</f>
        <v/>
      </c>
    </row>
    <row r="22">
      <c r="A22" s="9" t="inlineStr">
        <is>
          <t>Бытовая косметика покупки</t>
        </is>
      </c>
      <c r="B22" s="8">
        <f>'Бытовая косметика покупки'!G12</f>
        <v/>
      </c>
      <c r="C22" s="8">
        <f>'Бытовая косметика покупки'!H12</f>
        <v/>
      </c>
    </row>
    <row r="23">
      <c r="A23" s="7" t="inlineStr">
        <is>
          <t>Бытовая посуда покупки</t>
        </is>
      </c>
      <c r="B23" s="8">
        <f>'Бытовая посуда покупки'!G23</f>
        <v/>
      </c>
      <c r="C23" s="8">
        <f>'Бытовая посуда покупки'!H23</f>
        <v/>
      </c>
    </row>
    <row r="24">
      <c r="A24" s="9" t="inlineStr">
        <is>
          <t>Бытовая техника покупки</t>
        </is>
      </c>
      <c r="B24" s="8">
        <f>'Бытовая техника покупки'!G20</f>
        <v/>
      </c>
      <c r="C24" s="8">
        <f>'Бытовая техника покупки'!H20</f>
        <v/>
      </c>
    </row>
    <row r="25">
      <c r="A25" s="7" t="inlineStr">
        <is>
          <t>Мебель и хозяйство покупки</t>
        </is>
      </c>
      <c r="B25" s="8">
        <f>'Мебель и хозяйство покупки'!G18</f>
        <v/>
      </c>
      <c r="C25" s="8">
        <f>'Мебель и хозяйство покупки'!H18</f>
        <v/>
      </c>
    </row>
    <row r="26">
      <c r="A26" s="9" t="inlineStr">
        <is>
          <t>Праздники покупки</t>
        </is>
      </c>
      <c r="B26" s="8">
        <f>'Праздники покупки'!G9</f>
        <v/>
      </c>
      <c r="C26" s="8">
        <f>'Праздники покупки'!H9</f>
        <v/>
      </c>
    </row>
    <row r="27">
      <c r="A27" s="7" t="inlineStr">
        <is>
          <t>Аренда и коммунальные платежи р</t>
        </is>
      </c>
      <c r="B27" s="8">
        <f>'Аренда и коммунальные платежи р'!E11</f>
        <v/>
      </c>
      <c r="C27" s="8">
        <f>'Аренда и коммунальные платежи р'!F11</f>
        <v/>
      </c>
    </row>
    <row r="28">
      <c r="A28" s="9" t="inlineStr">
        <is>
          <t>Хобби и развлечения расходы 2</t>
        </is>
      </c>
      <c r="B28" s="8">
        <f>'Хобби и развлечения расходы 2'!F9</f>
        <v/>
      </c>
      <c r="C28" s="8">
        <f>'Хобби и развлечения расходы 2'!G9</f>
        <v/>
      </c>
    </row>
    <row r="29">
      <c r="A29" s="7" t="inlineStr">
        <is>
          <t>Транспорт расходы</t>
        </is>
      </c>
      <c r="B29" s="8">
        <f>'Транспорт расходы'!E15</f>
        <v/>
      </c>
      <c r="C29" s="8">
        <f>'Транспорт расходы'!F15</f>
        <v/>
      </c>
    </row>
    <row r="30">
      <c r="A30" s="10" t="inlineStr">
        <is>
          <t>СОДЕРЖАНИЕ РЕБЁНКА</t>
        </is>
      </c>
      <c r="B30" s="11">
        <f>SUM(B5:B29)</f>
        <v/>
      </c>
      <c r="C30" s="11">
        <f>SUM(C5:C29)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3" t="inlineStr">
        <is>
          <t>Предметы личного пользования</t>
        </is>
      </c>
      <c r="B7" s="13" t="inlineStr">
        <is>
          <t>Предметы личного пользования</t>
        </is>
      </c>
    </row>
    <row r="8">
      <c r="A8" s="13" t="inlineStr">
        <is>
          <t>Продукты питания</t>
        </is>
      </c>
      <c r="B8" s="13" t="inlineStr">
        <is>
          <t>Продукты питания</t>
        </is>
      </c>
    </row>
    <row r="9">
      <c r="A9" s="13" t="inlineStr">
        <is>
          <t>Спорт и досуг</t>
        </is>
      </c>
      <c r="B9" s="13" t="inlineStr">
        <is>
          <t>Спорт и досуг</t>
        </is>
      </c>
    </row>
    <row r="10">
      <c r="A10" s="13" t="inlineStr">
        <is>
          <t>Школа и образование</t>
        </is>
      </c>
      <c r="B10" s="13" t="inlineStr">
        <is>
          <t>Школа и образование</t>
        </is>
      </c>
    </row>
    <row r="11">
      <c r="A11" s="13" t="inlineStr">
        <is>
          <t>Лекарства</t>
        </is>
      </c>
      <c r="B11" s="13" t="inlineStr">
        <is>
          <t>Лекарства</t>
        </is>
      </c>
    </row>
    <row r="12">
      <c r="A12" s="13" t="inlineStr">
        <is>
          <t>Медицинские услуги</t>
        </is>
      </c>
      <c r="B12" s="13" t="inlineStr">
        <is>
          <t>Медицинские услуги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Оборудование</t>
        </is>
      </c>
      <c r="B14" s="13" t="inlineStr">
        <is>
          <t>Оборудование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  <row r="16">
      <c r="A16" s="13" t="inlineStr">
        <is>
          <t>Хобби и развлечения</t>
        </is>
      </c>
      <c r="B16" s="13" t="inlineStr">
        <is>
          <t>Хобби и развлечения</t>
        </is>
      </c>
    </row>
    <row r="17">
      <c r="A17" s="13" t="inlineStr">
        <is>
          <t>Бытовая косметика</t>
        </is>
      </c>
      <c r="B17" s="13" t="inlineStr">
        <is>
          <t>Бытовая косметика</t>
        </is>
      </c>
    </row>
    <row r="18">
      <c r="A18" s="13" t="inlineStr">
        <is>
          <t>Бытовая посуда</t>
        </is>
      </c>
      <c r="B18" s="13" t="inlineStr">
        <is>
          <t>Бытовая посуда</t>
        </is>
      </c>
    </row>
    <row r="19">
      <c r="A19" s="13" t="inlineStr">
        <is>
          <t>Бытовая техника</t>
        </is>
      </c>
      <c r="B19" s="13" t="inlineStr">
        <is>
          <t>Бытовая техника</t>
        </is>
      </c>
    </row>
    <row r="20">
      <c r="A20" s="13" t="inlineStr">
        <is>
          <t>Мебель и хозяйство</t>
        </is>
      </c>
      <c r="B20" s="13" t="inlineStr">
        <is>
          <t>Мебель и хозяйство</t>
        </is>
      </c>
    </row>
    <row r="21">
      <c r="A21" s="13" t="inlineStr">
        <is>
          <t>Праздники</t>
        </is>
      </c>
      <c r="B21" s="13" t="inlineStr">
        <is>
          <t>Праздники</t>
        </is>
      </c>
    </row>
    <row r="22">
      <c r="A22" s="13" t="inlineStr">
        <is>
          <t>Аренда и коммунальные платежи</t>
        </is>
      </c>
      <c r="B22" s="13" t="inlineStr">
        <is>
          <t>Аренда и коммунальные платежи</t>
        </is>
      </c>
    </row>
    <row r="23">
      <c r="A23" s="13" t="inlineStr">
        <is>
          <t>Хобби и развлечения</t>
        </is>
      </c>
      <c r="B23" s="13" t="inlineStr">
        <is>
          <t>Хобби и развлечения</t>
        </is>
      </c>
    </row>
    <row r="24">
      <c r="A24" s="13" t="inlineStr">
        <is>
          <t>Транспорт</t>
        </is>
      </c>
      <c r="B24" s="13" t="inlineStr">
        <is>
          <t>Транспорт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 и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Курс английского, Language Secret</t>
        </is>
      </c>
      <c r="C47" s="15" t="n">
        <v>12</v>
      </c>
      <c r="D47" s="12" t="inlineStr"/>
      <c r="E47" s="17" t="n">
        <v>3440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Питание в школе</t>
        </is>
      </c>
      <c r="C48" s="15" t="n">
        <v>170</v>
      </c>
      <c r="D48" s="12" t="inlineStr"/>
      <c r="E48" s="17" t="n">
        <v>100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Платный курс (школа)</t>
        </is>
      </c>
      <c r="C49" s="15" t="n">
        <v>12</v>
      </c>
      <c r="D49" s="12" t="inlineStr"/>
      <c r="E49" s="17" t="n">
        <v>300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0" ht="20" customHeight="1">
      <c r="A50" s="14" t="n">
        <v>46</v>
      </c>
      <c r="B50" s="13" t="inlineStr">
        <is>
          <t>Взносы в школу</t>
        </is>
      </c>
      <c r="C50" s="15" t="n">
        <v>1</v>
      </c>
      <c r="D50" s="12" t="inlineStr"/>
      <c r="E50" s="17" t="n">
        <v>3000</v>
      </c>
      <c r="F50" s="15" t="n">
        <v>1</v>
      </c>
      <c r="G50" s="8">
        <f>IF(ISNUMBER(F50),IF(F50=0,0,E50*IF(C50=0,1,C50)/F50),IF(F50="неделя",E50*IF(C50=0,1,C50)*52,IF(F50="месяц",E50*IF(C50=0,1,C50)*12,E50*IF(C50=0,1,C50))))</f>
        <v/>
      </c>
      <c r="H50" s="8">
        <f>IF(G50=0,0,G50/12)</f>
        <v/>
      </c>
    </row>
    <row r="52">
      <c r="A52" s="10" t="inlineStr">
        <is>
          <t>Итого: Школа и образование</t>
        </is>
      </c>
      <c r="B52" s="10" t="n"/>
      <c r="C52" s="10" t="n"/>
      <c r="D52" s="10" t="n"/>
      <c r="E52" s="10" t="n"/>
      <c r="F52" s="10" t="n"/>
      <c r="G52" s="11">
        <f>G5+G6+G7+G8+G9+G10+G11+G12+G13+G14+G15+G16+G17+G18+G19+G20+G21+G22+G23+G24+G25+G26+G27+G28+G29+G30+G31+G32+G33+G34+G35+G36+G37+G38+G39+G40+G41+G42+G43+G44+G45+G46+G47+G48+G49+G50</f>
        <v/>
      </c>
      <c r="H52" s="11">
        <f>IF(G52=0,0,G52/12)</f>
        <v/>
      </c>
    </row>
  </sheetData>
  <mergeCells count="3">
    <mergeCell ref="A52:F5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Абонемент Олимпия Спорт</t>
        </is>
      </c>
      <c r="C5" s="15" t="n">
        <v>1</v>
      </c>
      <c r="D5" s="17" t="n">
        <v>36000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Бургер Кинг / кафе</t>
        </is>
      </c>
      <c r="C6" s="15" t="n">
        <v>1</v>
      </c>
      <c r="D6" s="17" t="n">
        <v>1100</v>
      </c>
      <c r="E6" s="15" t="inlineStr">
        <is>
          <t>неделя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Зоопарк</t>
        </is>
      </c>
      <c r="C7" s="15" t="n">
        <v>1</v>
      </c>
      <c r="D7" s="17" t="n">
        <v>375</v>
      </c>
      <c r="E7" s="15" t="inlineStr">
        <is>
          <t>год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Кино</t>
        </is>
      </c>
      <c r="C8" s="15" t="n">
        <v>1</v>
      </c>
      <c r="D8" s="17" t="n">
        <v>570</v>
      </c>
      <c r="E8" s="15" t="inlineStr">
        <is>
          <t>месяц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Поход в цирк</t>
        </is>
      </c>
      <c r="C9" s="15" t="n">
        <v>1</v>
      </c>
      <c r="D9" s="17" t="n">
        <v>2250</v>
      </c>
      <c r="E9" s="15" t="inlineStr">
        <is>
          <t>год</t>
        </is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Секция самбо</t>
        </is>
      </c>
      <c r="C10" s="15" t="n">
        <v>1</v>
      </c>
      <c r="D10" s="17" t="n">
        <v>4000</v>
      </c>
      <c r="E10" s="15" t="inlineStr">
        <is>
          <t>месяц</t>
        </is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2">
      <c r="A12" s="10" t="inlineStr">
        <is>
          <t>Итого: Хобби и развлечения</t>
        </is>
      </c>
      <c r="B12" s="10" t="n"/>
      <c r="C12" s="10" t="n"/>
      <c r="D12" s="10" t="n"/>
      <c r="E12" s="10" t="n"/>
      <c r="F12" s="11">
        <f>F5+F6+F7+F8+F9+F10</f>
        <v/>
      </c>
      <c r="G12" s="11">
        <f>IF(F12=0,0,F12/12)</f>
        <v/>
      </c>
    </row>
  </sheetData>
  <mergeCells count="3">
    <mergeCell ref="A2:G2"/>
    <mergeCell ref="A1:G1"/>
    <mergeCell ref="A12:E12"/>
  </mergeCells>
  <dataValidations count="1">
    <dataValidation sqref="E5:E10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Аренда и коммунальные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2026-08-13T05:33:33Z</dcterms:created>
  <dcterms:modified xmlns:dcterms="http://purl.org/dc/terms/" xmlns:xsi="http://www.w3.org/2001/XMLSchema-instance" xsi:type="dcterms:W3CDTF">2026-08-13T05:33:33Z</dcterms:modified>
</cp:coreProperties>
</file>