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покупки" sheetId="13" state="visible" r:id="rId13"/>
    <sheet xmlns:r="http://schemas.openxmlformats.org/officeDocument/2006/relationships" name="Школа — гардероб" sheetId="14" state="visible" r:id="rId14"/>
    <sheet xmlns:r="http://schemas.openxmlformats.org/officeDocument/2006/relationships" name="Школа — принадлежности" sheetId="15" state="visible" r:id="rId15"/>
    <sheet xmlns:r="http://schemas.openxmlformats.org/officeDocument/2006/relationships" name="Школа — регулярные платежи" sheetId="16" state="visible" r:id="rId16"/>
    <sheet xmlns:r="http://schemas.openxmlformats.org/officeDocument/2006/relationships" name="Школа — дополнительные расходы" sheetId="17" state="visible" r:id="rId17"/>
    <sheet xmlns:r="http://schemas.openxmlformats.org/officeDocument/2006/relationships" name="Дополнительное образование — об" sheetId="18" state="visible" r:id="rId18"/>
    <sheet xmlns:r="http://schemas.openxmlformats.org/officeDocument/2006/relationships" name="Дополнительное образование — пл" sheetId="19" state="visible" r:id="rId19"/>
    <sheet xmlns:r="http://schemas.openxmlformats.org/officeDocument/2006/relationships" name="Лекарства" sheetId="20" state="visible" r:id="rId20"/>
    <sheet xmlns:r="http://schemas.openxmlformats.org/officeDocument/2006/relationships" name="Медицинские услуги" sheetId="21" state="visible" r:id="rId21"/>
    <sheet xmlns:r="http://schemas.openxmlformats.org/officeDocument/2006/relationships" name="Карманные расходы" sheetId="22" state="visible" r:id="rId22"/>
    <sheet xmlns:r="http://schemas.openxmlformats.org/officeDocument/2006/relationships" name="Связь расходы" sheetId="23" state="visible" r:id="rId23"/>
    <sheet xmlns:r="http://schemas.openxmlformats.org/officeDocument/2006/relationships" name="Праздники расходы" sheetId="24" state="visible" r:id="rId24"/>
    <sheet xmlns:r="http://schemas.openxmlformats.org/officeDocument/2006/relationships" name="Хобби и развлечения расходы" sheetId="25" state="visible" r:id="rId25"/>
    <sheet xmlns:r="http://schemas.openxmlformats.org/officeDocument/2006/relationships" name="Бытовая косметика покупки" sheetId="26" state="visible" r:id="rId26"/>
    <sheet xmlns:r="http://schemas.openxmlformats.org/officeDocument/2006/relationships" name="Бытовая посуда покупки" sheetId="27" state="visible" r:id="rId27"/>
    <sheet xmlns:r="http://schemas.openxmlformats.org/officeDocument/2006/relationships" name="Бытовая техника покупки" sheetId="28" state="visible" r:id="rId28"/>
    <sheet xmlns:r="http://schemas.openxmlformats.org/officeDocument/2006/relationships" name="Мебель и хозяйство покупки" sheetId="29" state="visible" r:id="rId29"/>
    <sheet xmlns:r="http://schemas.openxmlformats.org/officeDocument/2006/relationships" name="Праздники покупки" sheetId="30" state="visible" r:id="rId30"/>
    <sheet xmlns:r="http://schemas.openxmlformats.org/officeDocument/2006/relationships" name="Содержание жилья расходы" sheetId="31" state="visible" r:id="rId31"/>
    <sheet xmlns:r="http://schemas.openxmlformats.org/officeDocument/2006/relationships" name="Отдых и досуг расходы" sheetId="32" state="visible" r:id="rId32"/>
    <sheet xmlns:r="http://schemas.openxmlformats.org/officeDocument/2006/relationships" name="Транспорт расходы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'Сводка'!$A$5:$A$34</f>
            </numRef>
          </cat>
          <val>
            <numRef>
              <f>'Сводка'!$B$5:$B$34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8%D0%B0%D0%BF%D0%BA%D0%B0%20%D0%B7%D0%B8%D0%BC%D0%BD%D1%8F%D1%8F" TargetMode="External" Id="rId7"/><Relationship Type="http://schemas.openxmlformats.org/officeDocument/2006/relationships/hyperlink" Target="https://www.detmir.ru/search/results/?qt=%D1%88%D0%B0%D0%BF%D0%BA%D0%B0%20%D0%BE%D1%81%D0%B5%D0%BD%D0%BD%D1%8F%D1%8F" TargetMode="External" Id="rId8"/><Relationship Type="http://schemas.openxmlformats.org/officeDocument/2006/relationships/hyperlink" Target="https://www.detmir.ru/search/results/?qt=%D1%88%D0%B0%D1%80%D1%84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1"/><Relationship Type="http://schemas.openxmlformats.org/officeDocument/2006/relationships/hyperlink" Target="https://market.yandex.ru/search?text=%D0%B2%D0%B5%D0%BB%D0%BE%D1%81%D0%B8%D0%BF%D0%B5%D0%B4%20Stern%2024" TargetMode="External" Id="rId2"/><Relationship Type="http://schemas.openxmlformats.org/officeDocument/2006/relationships/hyperlink" Target="https://www.detmir.ru/search/results/?qt=%D0%B3%D0%B0%D0%BD%D1%82%D0%B5%D0%BB%D0%B8%20%D0%B4%D0%B5%D1%82%D1%81%D0%BA%D0%B8%D0%B5" TargetMode="External" Id="rId3"/><Relationship Type="http://schemas.openxmlformats.org/officeDocument/2006/relationships/hyperlink" Target="https://www.detmir.ru/search/results/?qt=%D0%BA%D0%BE%D0%BD%D1%8C%D0%BA%D0%B8" TargetMode="External" Id="rId4"/><Relationship Type="http://schemas.openxmlformats.org/officeDocument/2006/relationships/hyperlink" Target="https://www.detmir.ru/search/results/?qt=%D0%BC%D1%8F%D1%87%20%D1%84%D1%83%D1%82%D0%B1%D0%BE%D0%BB%D1%8C%D0%BD%D1%8B%D0%B9" TargetMode="External" Id="rId5"/><Relationship Type="http://schemas.openxmlformats.org/officeDocument/2006/relationships/hyperlink" Target="https://www.detmir.ru/search/results/?qt=%D0%BD%D0%B0%D0%B4%D1%83%D0%B2%D0%BD%D0%BE%D0%B9%20%D0%BA%D1%80%D1%83%D0%B3" TargetMode="External" Id="rId6"/><Relationship Type="http://schemas.openxmlformats.org/officeDocument/2006/relationships/hyperlink" Target="https://www.detmir.ru/search/results/?qt=%D1%81%D0%BA%D0%B0%D0%BA%D0%B0%D0%BB%D0%BA%D0%B0" TargetMode="External" Id="rId7"/><Relationship Type="http://schemas.openxmlformats.org/officeDocument/2006/relationships/hyperlink" Target="https://leroymerlin.ru/search/?q=%D1%81%D1%82%D1%83%D0%BB%20%D0%BA%D0%B5%D0%BC%D0%BF%D0%B8%D0%BD%D0%B3" TargetMode="External" Id="rId8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7069266/" TargetMode="External" Id="rId8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detmir.ru/product/index/id/6391235/" TargetMode="External" Id="rId1"/><Relationship Type="http://schemas.openxmlformats.org/officeDocument/2006/relationships/hyperlink" Target="https://www.detmir.ru/product/index/id/6622893/" TargetMode="External" Id="rId2"/><Relationship Type="http://schemas.openxmlformats.org/officeDocument/2006/relationships/hyperlink" Target="https://www.detmir.ru/product/index/id/6037286/" TargetMode="External" Id="rId3"/><Relationship Type="http://schemas.openxmlformats.org/officeDocument/2006/relationships/hyperlink" Target="https://www.detmir.ru/search/results/?qt=%D0%B0%D0%BB%D1%8C%D0%B1%D0%BE%D0%BC" TargetMode="External" Id="rId4"/><Relationship Type="http://schemas.openxmlformats.org/officeDocument/2006/relationships/hyperlink" Target="https://www.detmir.ru/catalog/index/name/cyrkuli/tip_cherchenie-gotovalnya/" TargetMode="External" Id="rId5"/><Relationship Type="http://schemas.openxmlformats.org/officeDocument/2006/relationships/hyperlink" Target="https://www.detmir.ru/product/index/id/6430833/" TargetMode="External" Id="rId6"/><Relationship Type="http://schemas.openxmlformats.org/officeDocument/2006/relationships/hyperlink" Target="https://www.detmir.ru/product/index/id/6462321/" TargetMode="External" Id="rId7"/><Relationship Type="http://schemas.openxmlformats.org/officeDocument/2006/relationships/hyperlink" Target="https://www.detmir.ru/search/results/?qt=%D0%B4%D0%BE%D1%81%D0%BA%D0%B0%20%D0%B4%D0%BB%D1%8F%20%D0%BB%D0%B5%D0%BF%D0%BA%D0%B8" TargetMode="External" Id="rId8"/><Relationship Type="http://schemas.openxmlformats.org/officeDocument/2006/relationships/hyperlink" Target="https://www.detmir.ru/search/results/?qt=%D0%B7%D0%B0%D0%BA%D0%BB%D0%B0%D0%B4%D0%BA%D0%B8%20%D0%B4%D0%BB%D1%8F%20%D0%BA%D0%BD%D0%B8%D0%B3" TargetMode="External" Id="rId9"/><Relationship Type="http://schemas.openxmlformats.org/officeDocument/2006/relationships/hyperlink" Target="https://www.detmir.ru/search/results/?qt=%D0%BA%D0%B0%D1%80%D0%B0%D0%BD%D0%B4%D0%B0%D1%88%20HB" TargetMode="External" Id="rId10"/><Relationship Type="http://schemas.openxmlformats.org/officeDocument/2006/relationships/hyperlink" Target="https://www.detmir.ru/product/index/id/6016009/" TargetMode="External" Id="rId11"/><Relationship Type="http://schemas.openxmlformats.org/officeDocument/2006/relationships/hyperlink" Target="https://www.detmir.ru/search/results/?qt=%D0%BA%D0%B0%D1%80%D1%82%D0%BE%D0%BD%20%D1%86%D0%B2%D0%B5%D1%82%D0%BD%D0%BE%D0%B9" TargetMode="External" Id="rId12"/><Relationship Type="http://schemas.openxmlformats.org/officeDocument/2006/relationships/hyperlink" Target="https://www.detmir.ru/search/results/?qt=%D0%BA%D0%BB%D0%B5%D0%B9%20%D0%9F%D0%92%D0%90" TargetMode="External" Id="rId13"/><Relationship Type="http://schemas.openxmlformats.org/officeDocument/2006/relationships/hyperlink" Target="https://www.detmir.ru/search/results/?qt=%D0%BA%D0%BB%D0%B5%D0%B9-%D0%BA%D0%B0%D1%80%D0%B0%D0%BD%D0%B4%D0%B0%D1%88" TargetMode="External" Id="rId14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15"/><Relationship Type="http://schemas.openxmlformats.org/officeDocument/2006/relationships/hyperlink" Target="https://www.detmir.ru/search/results/?qt=%D0%BB%D0%B0%D1%81%D1%82%D0%B8%D0%BA" TargetMode="External" Id="rId16"/><Relationship Type="http://schemas.openxmlformats.org/officeDocument/2006/relationships/hyperlink" Target="https://www.detmir.ru/search/results/?qt=%D0%BB%D0%B8%D0%BD%D0%B5%D0%B9%D0%BA%D0%B0%2020" TargetMode="External" Id="rId17"/><Relationship Type="http://schemas.openxmlformats.org/officeDocument/2006/relationships/hyperlink" Target="https://www.detmir.ru/search/results/?qt=%D0%BA%D0%B8%D1%81%D1%82%D0%B8" TargetMode="External" Id="rId18"/><Relationship Type="http://schemas.openxmlformats.org/officeDocument/2006/relationships/hyperlink" Target="https://www.detmir.ru/product/index/id/6724733/" TargetMode="External" Id="rId19"/><Relationship Type="http://schemas.openxmlformats.org/officeDocument/2006/relationships/hyperlink" Target="https://www.detmir.ru/search/results/?qt=%D0%BD%D0%B5%D0%BF%D1%80%D0%BE%D0%BB%D0%B8%D0%B2%D0%B0%D0%B9%D0%BA%D0%B0" TargetMode="External" Id="rId20"/><Relationship Type="http://schemas.openxmlformats.org/officeDocument/2006/relationships/hyperlink" Target="https://www.detmir.ru/search/results/?qt=%D0%BD%D0%BE%D0%B6%D0%BD%D0%B8%D1%86%D1%8B%20%D0%B4%D0%B5%D1%82%D1%81%D0%BA%D0%B8%D0%B5" TargetMode="External" Id="rId21"/><Relationship Type="http://schemas.openxmlformats.org/officeDocument/2006/relationships/hyperlink" Target="https://www.detmir.ru/product/index/id/6442038/" TargetMode="External" Id="rId22"/><Relationship Type="http://schemas.openxmlformats.org/officeDocument/2006/relationships/hyperlink" Target="https://www.detmir.ru/catalog/index/name/cover_notebook/" TargetMode="External" Id="rId23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24"/><Relationship Type="http://schemas.openxmlformats.org/officeDocument/2006/relationships/hyperlink" Target="https://www.detmir.ru/search/results/?qt=%D0%BF%D0%B0%D0%BF%D0%BA%D0%B0%20%D0%B4%D0%BB%D1%8F%20%D1%82%D1%80%D1%83%D0%B4%D0%B0" TargetMode="External" Id="rId25"/><Relationship Type="http://schemas.openxmlformats.org/officeDocument/2006/relationships/hyperlink" Target="https://www.detmir.ru/product/index/id/6400444/" TargetMode="External" Id="rId26"/><Relationship Type="http://schemas.openxmlformats.org/officeDocument/2006/relationships/hyperlink" Target="https://www.detmir.ru/search/results/?qt=%D0%BF%D0%BB%D0%B0%D1%81%D1%82%D0%B8%D0%BB%D0%B8%D0%BD" TargetMode="External" Id="rId27"/><Relationship Type="http://schemas.openxmlformats.org/officeDocument/2006/relationships/hyperlink" Target="https://www.detmir.ru/product/index/id/6505850/" TargetMode="External" Id="rId28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29"/><Relationship Type="http://schemas.openxmlformats.org/officeDocument/2006/relationships/hyperlink" Target="https://www.detmir.ru/product/index/id/6683471/" TargetMode="External" Id="rId30"/><Relationship Type="http://schemas.openxmlformats.org/officeDocument/2006/relationships/hyperlink" Target="https://www.detmir.ru/search/results/?qt=%D1%82%D0%BE%D1%87%D0%B8%D0%BB%D0%BA%D0%B0" TargetMode="External" Id="rId31"/><Relationship Type="http://schemas.openxmlformats.org/officeDocument/2006/relationships/hyperlink" Target="https://www.detmir.ru/search/results/?qt=%D1%83%D1%87%D0%B5%D0%B1%D0%BD%D1%8B%D0%B5%20%D0%BF%D0%BE%D1%81%D0%BE%D0%B1%D0%B8%D1%8F" TargetMode="External" Id="rId32"/><Relationship Type="http://schemas.openxmlformats.org/officeDocument/2006/relationships/hyperlink" Target="https://www.detmir.ru/product/index/id/3293711/" TargetMode="External" Id="rId33"/><Relationship Type="http://schemas.openxmlformats.org/officeDocument/2006/relationships/hyperlink" Target="https://www.detmir.ru/search/results/?qt=%D1%86%D0%B2%D0%B5%D1%82%D0%BD%D0%B0%D1%8F%20%D0%B1%D1%83%D0%BC%D0%B0%D0%B3%D0%B0" TargetMode="External" Id="rId34"/></Relationships>
</file>

<file path=xl/worksheets/_rels/sheet18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karate.ru/shop/catalog/407-perchatki-mma-sinie-kozhzamenitel-combat-sambo-green-hill/" TargetMode="External" Id="rId2"/><Relationship Type="http://schemas.openxmlformats.org/officeDocument/2006/relationships/hyperlink" Target="https://www.detmir.ru/search/results/?qt=%D0%BB%D0%B0%D1%81%D1%82%D1%8B%20%D0%B4%D0%B5%D1%82%D1%81%D0%BA%D0%B8%D0%B5" TargetMode="External" Id="rId3"/><Relationship Type="http://schemas.openxmlformats.org/officeDocument/2006/relationships/hyperlink" Target="https://dantesport.ru/product_info.php?products_id=1207" TargetMode="External" Id="rId4"/><Relationship Type="http://schemas.openxmlformats.org/officeDocument/2006/relationships/hyperlink" Target="https://www.detmir.ru/catalog/index/name/plavki/" TargetMode="External" Id="rId5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6"/><Relationship Type="http://schemas.openxmlformats.org/officeDocument/2006/relationships/hyperlink" Target="https://rocky-shop.ru/ekipirovka-dlya-edinoborstv/detskie-bortscovki-dlya-sambo-green-hill-triumf-odobreny-fias-27458.html" TargetMode="External" Id="rId7"/><Relationship Type="http://schemas.openxmlformats.org/officeDocument/2006/relationships/hyperlink" Target="https://www.detmir.ru/search/results/?qt=%D1%81%D0%BF%D0%BE%D1%80%D1%82%D0%B8%D0%B2%D0%BD%D0%B0%D1%8F%20%D1%81%D1%83%D0%BC%D0%BA%D0%B0" TargetMode="External" Id="rId8"/></Relationships>
</file>

<file path=xl/worksheets/_rels/sheet20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6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7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8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9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30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покупки'!G15</f>
        <v/>
      </c>
      <c r="C5" s="8">
        <f>'Аксессуары покупки'!H15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покупки</t>
        </is>
      </c>
      <c r="B14" s="8">
        <f>'Спорт покупки'!G14</f>
        <v/>
      </c>
      <c r="C14" s="8">
        <f>'Спорт покупки'!H14</f>
        <v/>
      </c>
    </row>
    <row r="15">
      <c r="A15" s="7" t="inlineStr">
        <is>
          <t>Школа — гардероб</t>
        </is>
      </c>
      <c r="B15" s="8">
        <f>'Школа — гардероб'!G14</f>
        <v/>
      </c>
      <c r="C15" s="8">
        <f>'Школа — гардероб'!H14</f>
        <v/>
      </c>
    </row>
    <row r="16">
      <c r="A16" s="9" t="inlineStr">
        <is>
          <t>Школа — принадлежности</t>
        </is>
      </c>
      <c r="B16" s="8">
        <f>'Школа — принадлежности'!G40</f>
        <v/>
      </c>
      <c r="C16" s="8">
        <f>'Школа — принадлежности'!H40</f>
        <v/>
      </c>
    </row>
    <row r="17">
      <c r="A17" s="7" t="inlineStr">
        <is>
          <t>Школа — регулярные платежи</t>
        </is>
      </c>
      <c r="B17" s="8">
        <f>'Школа — регулярные платежи'!E9</f>
        <v/>
      </c>
      <c r="C17" s="8">
        <f>'Школа — регулярные платежи'!F9</f>
        <v/>
      </c>
    </row>
    <row r="18">
      <c r="A18" s="9" t="inlineStr">
        <is>
          <t>Школа — дополнительные расходы</t>
        </is>
      </c>
      <c r="B18" s="8">
        <f>'Школа — дополнительные расходы'!F9</f>
        <v/>
      </c>
      <c r="C18" s="8">
        <f>'Школа — дополнительные расходы'!G9</f>
        <v/>
      </c>
    </row>
    <row r="19">
      <c r="A19" s="7" t="inlineStr">
        <is>
          <t>Дополнительное образование — об</t>
        </is>
      </c>
      <c r="B19" s="8">
        <f>'Дополнительное образование — об'!G14</f>
        <v/>
      </c>
      <c r="C19" s="8">
        <f>'Дополнительное образование — об'!H14</f>
        <v/>
      </c>
    </row>
    <row r="20">
      <c r="A20" s="9" t="inlineStr">
        <is>
          <t>Дополнительное образование — пл</t>
        </is>
      </c>
      <c r="B20" s="8">
        <f>'Дополнительное образование — пл'!G9</f>
        <v/>
      </c>
      <c r="C20" s="8">
        <f>'Дополнительное образование — пл'!H9</f>
        <v/>
      </c>
    </row>
    <row r="21">
      <c r="A21" s="7" t="inlineStr">
        <is>
          <t>Лекарства</t>
        </is>
      </c>
      <c r="B21" s="8">
        <f>'Лекарства'!G14</f>
        <v/>
      </c>
      <c r="C21" s="8">
        <f>'Лекарства'!H14</f>
        <v/>
      </c>
    </row>
    <row r="22">
      <c r="A22" s="9" t="inlineStr">
        <is>
          <t>Медицинские услуги</t>
        </is>
      </c>
      <c r="B22" s="8">
        <f>'Медицинские услуги'!G7</f>
        <v/>
      </c>
      <c r="C22" s="8">
        <f>'Медицинские услуги'!H7</f>
        <v/>
      </c>
    </row>
    <row r="23">
      <c r="A23" s="7" t="inlineStr">
        <is>
          <t>Карманные расходы</t>
        </is>
      </c>
      <c r="B23" s="8">
        <f>'Карманные расходы'!F7</f>
        <v/>
      </c>
      <c r="C23" s="8">
        <f>'Карманные расходы'!G7</f>
        <v/>
      </c>
    </row>
    <row r="24">
      <c r="A24" s="9" t="inlineStr">
        <is>
          <t>Связь расходы</t>
        </is>
      </c>
      <c r="B24" s="8">
        <f>'Связь расходы'!F7</f>
        <v/>
      </c>
      <c r="C24" s="8">
        <f>'Связь расходы'!G7</f>
        <v/>
      </c>
    </row>
    <row r="25">
      <c r="A25" s="7" t="inlineStr">
        <is>
          <t>Праздники расходы</t>
        </is>
      </c>
      <c r="B25" s="8">
        <f>'Праздники расходы'!F11</f>
        <v/>
      </c>
      <c r="C25" s="8">
        <f>'Праздники расходы'!G11</f>
        <v/>
      </c>
    </row>
    <row r="26">
      <c r="A26" s="9" t="inlineStr">
        <is>
          <t>Хобби и развлечения расходы</t>
        </is>
      </c>
      <c r="B26" s="8">
        <f>'Хобби и развлечения расходы'!F10</f>
        <v/>
      </c>
      <c r="C26" s="8">
        <f>'Хобби и развлечения расходы'!G10</f>
        <v/>
      </c>
    </row>
    <row r="27">
      <c r="A27" s="7" t="inlineStr">
        <is>
          <t>Бытовая косметика покупки</t>
        </is>
      </c>
      <c r="B27" s="8">
        <f>'Бытовая косметика покупки'!G12</f>
        <v/>
      </c>
      <c r="C27" s="8">
        <f>'Бытовая косметика покупки'!H12</f>
        <v/>
      </c>
    </row>
    <row r="28">
      <c r="A28" s="9" t="inlineStr">
        <is>
          <t>Бытовая посуда покупки</t>
        </is>
      </c>
      <c r="B28" s="8">
        <f>'Бытовая посуда покупки'!G23</f>
        <v/>
      </c>
      <c r="C28" s="8">
        <f>'Бытовая посуда покупки'!H23</f>
        <v/>
      </c>
    </row>
    <row r="29">
      <c r="A29" s="7" t="inlineStr">
        <is>
          <t>Бытовая техника покупки</t>
        </is>
      </c>
      <c r="B29" s="8">
        <f>'Бытовая техника покупки'!G20</f>
        <v/>
      </c>
      <c r="C29" s="8">
        <f>'Бытовая техника покупки'!H20</f>
        <v/>
      </c>
    </row>
    <row r="30">
      <c r="A30" s="9" t="inlineStr">
        <is>
          <t>Мебель и хозяйство покупки</t>
        </is>
      </c>
      <c r="B30" s="8">
        <f>'Мебель и хозяйство покупки'!G18</f>
        <v/>
      </c>
      <c r="C30" s="8">
        <f>'Мебель и хозяйство покупки'!H18</f>
        <v/>
      </c>
    </row>
    <row r="31">
      <c r="A31" s="7" t="inlineStr">
        <is>
          <t>Праздники покупки</t>
        </is>
      </c>
      <c r="B31" s="8">
        <f>'Праздники покупки'!G9</f>
        <v/>
      </c>
      <c r="C31" s="8">
        <f>'Праздники покупки'!H9</f>
        <v/>
      </c>
    </row>
    <row r="32">
      <c r="A32" s="9" t="inlineStr">
        <is>
          <t>Содержание жилья расходы</t>
        </is>
      </c>
      <c r="B32" s="8">
        <f>'Содержание жилья расходы'!E11</f>
        <v/>
      </c>
      <c r="C32" s="8">
        <f>'Содержание жилья расходы'!F11</f>
        <v/>
      </c>
    </row>
    <row r="33">
      <c r="A33" s="7" t="inlineStr">
        <is>
          <t>Отдых и досуг расходы</t>
        </is>
      </c>
      <c r="B33" s="8">
        <f>'Отдых и досуг расходы'!F9</f>
        <v/>
      </c>
      <c r="C33" s="8">
        <f>'Отдых и досуг расходы'!G9</f>
        <v/>
      </c>
    </row>
    <row r="34">
      <c r="A34" s="9" t="inlineStr">
        <is>
          <t>Транспорт расходы</t>
        </is>
      </c>
      <c r="B34" s="8">
        <f>'Транспорт расходы'!E15</f>
        <v/>
      </c>
      <c r="C34" s="8">
        <f>'Транспорт расходы'!F15</f>
        <v/>
      </c>
    </row>
    <row r="35">
      <c r="A35" s="10" t="inlineStr">
        <is>
          <t>СОДЕРЖАНИЕ РЕБЁНКА</t>
        </is>
      </c>
      <c r="B35" s="11">
        <f>SUM(B5:B34)</f>
        <v/>
      </c>
      <c r="C35" s="11">
        <f>SUM(C5:C34)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Образование и школа</t>
        </is>
      </c>
      <c r="B5" s="12" t="inlineStr">
        <is>
          <t>Школа: гардероб; Школа: принадлежности; Школа: регулярные платежи; Школа: дополнительные расходы; Дополнительное образование: обеспечение; Дополнительное образование: платежи</t>
        </is>
      </c>
    </row>
    <row r="6">
      <c r="A6" s="12" t="inlineStr">
        <is>
          <t>Гардероб</t>
        </is>
      </c>
      <c r="B6" s="12" t="inlineStr">
        <is>
          <t>Бельё; Одежда второго слоя; Верхняя одежда; Обувь; Аксессуары</t>
        </is>
      </c>
    </row>
    <row r="7">
      <c r="A7" s="12" t="inlineStr">
        <is>
          <t>Обустройство жилья</t>
        </is>
      </c>
      <c r="B7" s="12" t="inlineStr">
        <is>
          <t>Комната; Оборудование</t>
        </is>
      </c>
    </row>
    <row r="8">
      <c r="A8" s="12" t="inlineStr">
        <is>
          <t>Здоровье</t>
        </is>
      </c>
      <c r="B8" s="12" t="inlineStr">
        <is>
          <t>Лекарства; Медицинские услуги</t>
        </is>
      </c>
    </row>
    <row r="9">
      <c r="A9" s="12" t="inlineStr">
        <is>
          <t>Отдых и досуг</t>
        </is>
      </c>
      <c r="B9" s="12" t="inlineStr">
        <is>
          <t>Спорт; Хобби и развлечения; Праздники</t>
        </is>
      </c>
    </row>
    <row r="10">
      <c r="A10" s="12" t="inlineStr">
        <is>
          <t>Доля в общих расходах</t>
        </is>
      </c>
      <c r="B10" s="12" t="inlineStr">
        <is>
          <t>Бытовая косметика; Бытовая посуда; Бытовая техника; Мебель и хозяйство; Праздники; Содержание жилья; Отдых и досуг; Транспорт</t>
        </is>
      </c>
    </row>
    <row r="11">
      <c r="A11" s="13" t="inlineStr">
        <is>
          <t>Предметы личного пользования</t>
        </is>
      </c>
      <c r="B11" s="13" t="inlineStr">
        <is>
          <t>Предметы личного пользования</t>
        </is>
      </c>
    </row>
    <row r="12">
      <c r="A12" s="13" t="inlineStr">
        <is>
          <t>Продукты питания</t>
        </is>
      </c>
      <c r="B12" s="13" t="inlineStr">
        <is>
          <t>Продукты питания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Связь</t>
        </is>
      </c>
      <c r="B14" s="13" t="inlineStr">
        <is>
          <t>Связь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Шапка зимняя</t>
        </is>
      </c>
      <c r="C11" s="15" t="n">
        <v>1</v>
      </c>
      <c r="D11" s="16" t="inlineStr">
        <is>
          <t>https://www.detmir.ru/search/results/?qt=%D1%88%D0%B0%D0%BF%D0%BA%D0%B0%20%D0%B7%D0%B8%D0%BC%D0%BD%D1%8F%D1%8F</t>
        </is>
      </c>
      <c r="E11" s="17" t="n">
        <v>699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осенняя</t>
        </is>
      </c>
      <c r="C12" s="15" t="n">
        <v>1</v>
      </c>
      <c r="D12" s="16" t="inlineStr">
        <is>
          <t>https://www.detmir.ru/search/results/?qt=%D1%88%D0%B0%D0%BF%D0%BA%D0%B0%20%D0%BE%D1%81%D0%B5%D0%BD%D0%BD%D1%8F%D1%8F</t>
        </is>
      </c>
      <c r="E12" s="17" t="n">
        <v>499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Шарф</t>
        </is>
      </c>
      <c r="C13" s="15" t="n">
        <v>1</v>
      </c>
      <c r="D13" s="16" t="inlineStr">
        <is>
          <t>https://www.detmir.ru/search/results/?qt=%D1%88%D0%B0%D1%80%D1%84</t>
        </is>
      </c>
      <c r="E13" s="17" t="n">
        <v>399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Аксессуары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Бустер автомобильный</t>
        </is>
      </c>
      <c r="C5" s="15" t="n">
        <v>1</v>
      </c>
      <c r="D5" s="16" t="inlineStr">
        <is>
          <t>https://www.detmir.ru/search/results/?qt=%D0%B1%D1%83%D1%81%D1%82%D0%B5%D1%80%20%D0%B0%D0%B2%D1%82%D0%BE%D0%BC%D0%BE%D0%B1%D0%B8%D0%BB%D1%8C%D0%BD%D1%8B%D0%B9</t>
        </is>
      </c>
      <c r="E5" s="17" t="n">
        <v>1999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Велосипед Stern 24"</t>
        </is>
      </c>
      <c r="C6" s="15" t="n">
        <v>1</v>
      </c>
      <c r="D6" s="16" t="inlineStr">
        <is>
          <t>https://market.yandex.ru/search?text=%D0%B2%D0%B5%D0%BB%D0%BE%D1%81%D0%B8%D0%BF%D0%B5%D0%B4%20Stern%2024</t>
        </is>
      </c>
      <c r="E6" s="17" t="n">
        <v>27999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Гантель</t>
        </is>
      </c>
      <c r="C7" s="15" t="n">
        <v>2</v>
      </c>
      <c r="D7" s="16" t="inlineStr">
        <is>
          <t>https://www.detmir.ru/search/results/?qt=%D0%B3%D0%B0%D0%BD%D1%82%D0%B5%D0%BB%D0%B8%20%D0%B4%D0%B5%D1%82%D1%81%D0%BA%D0%B8%D0%B5</t>
        </is>
      </c>
      <c r="E7" s="17" t="n">
        <v>365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Коньки</t>
        </is>
      </c>
      <c r="C8" s="15" t="n">
        <v>1</v>
      </c>
      <c r="D8" s="16" t="inlineStr">
        <is>
          <t>https://www.detmir.ru/search/results/?qt=%D0%BA%D0%BE%D0%BD%D1%8C%D0%BA%D0%B8</t>
        </is>
      </c>
      <c r="E8" s="17" t="n">
        <v>2999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Мяч футбольный</t>
        </is>
      </c>
      <c r="C9" s="15" t="n">
        <v>1</v>
      </c>
      <c r="D9" s="16" t="inlineStr">
        <is>
          <t>https://www.detmir.ru/search/results/?qt=%D0%BC%D1%8F%D1%87%20%D1%84%D1%83%D1%82%D0%B1%D0%BE%D0%BB%D1%8C%D0%BD%D1%8B%D0%B9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Надувной круг</t>
        </is>
      </c>
      <c r="C10" s="15" t="n">
        <v>1</v>
      </c>
      <c r="D10" s="16" t="inlineStr">
        <is>
          <t>https://www.detmir.ru/search/results/?qt=%D0%BD%D0%B0%D0%B4%D1%83%D0%B2%D0%BD%D0%BE%D0%B9%20%D0%BA%D1%80%D1%83%D0%B3</t>
        </is>
      </c>
      <c r="E10" s="17" t="n">
        <v>599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Скакалка</t>
        </is>
      </c>
      <c r="C11" s="15" t="n">
        <v>1</v>
      </c>
      <c r="D11" s="16" t="inlineStr">
        <is>
          <t>https://www.detmir.ru/search/results/?qt=%D1%81%D0%BA%D0%B0%D0%BA%D0%B0%D0%BB%D0%BA%D0%B0</t>
        </is>
      </c>
      <c r="E11" s="17" t="n">
        <v>399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Стул для кемпинга</t>
        </is>
      </c>
      <c r="C12" s="15" t="n">
        <v>1</v>
      </c>
      <c r="D12" s="16" t="inlineStr">
        <is>
          <t>https://leroymerlin.ru/search/?q=%D1%81%D1%82%D1%83%D0%BB%20%D0%BA%D0%B5%D0%BC%D0%BF%D0%B8%D0%BD%D0%B3</t>
        </is>
      </c>
      <c r="E12" s="17" t="n">
        <v>999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Спорт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Школа: гардероб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Спортивная форма школьная</t>
        </is>
      </c>
      <c r="C12" s="15" t="n">
        <v>1</v>
      </c>
      <c r="D12" s="16" t="inlineStr">
        <is>
          <t>https://www.detmir.ru/product/index/id/7069266/</t>
        </is>
      </c>
      <c r="E12" s="17" t="n">
        <v>1999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Школа: гардероб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4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Школа: принадлежности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Рюкзак школьный</t>
        </is>
      </c>
      <c r="C5" s="15" t="n">
        <v>1</v>
      </c>
      <c r="D5" s="16" t="inlineStr">
        <is>
          <t>https://www.detmir.ru/product/index/id/6391235/</t>
        </is>
      </c>
      <c r="E5" s="17" t="n">
        <v>3499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Сумка для обуви</t>
        </is>
      </c>
      <c r="C6" s="15" t="n">
        <v>1</v>
      </c>
      <c r="D6" s="16" t="inlineStr">
        <is>
          <t>https://www.detmir.ru/product/index/id/6622893/</t>
        </is>
      </c>
      <c r="E6" s="17" t="n">
        <v>269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Сумка для формы</t>
        </is>
      </c>
      <c r="C7" s="15" t="n">
        <v>1</v>
      </c>
      <c r="D7" s="16" t="inlineStr">
        <is>
          <t>https://www.detmir.ru/product/index/id/6037286/</t>
        </is>
      </c>
      <c r="E7" s="17" t="n">
        <v>319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Альбом для рисования</t>
        </is>
      </c>
      <c r="C8" s="15" t="n">
        <v>1</v>
      </c>
      <c r="D8" s="16" t="inlineStr">
        <is>
          <t>https://www.detmir.ru/search/results/?qt=%D0%B0%D0%BB%D1%8C%D0%B1%D0%BE%D0%BC</t>
        </is>
      </c>
      <c r="E8" s="17" t="n">
        <v>89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Готовальня</t>
        </is>
      </c>
      <c r="C9" s="15" t="n">
        <v>1</v>
      </c>
      <c r="D9" s="16" t="inlineStr">
        <is>
          <t>https://www.detmir.ru/catalog/index/name/cyrkuli/tip_cherchenie-gotovalnya/</t>
        </is>
      </c>
      <c r="E9" s="17" t="n">
        <v>349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Гуашь 12 цв.</t>
        </is>
      </c>
      <c r="C10" s="15" t="n">
        <v>1</v>
      </c>
      <c r="D10" s="16" t="inlineStr">
        <is>
          <t>https://www.detmir.ru/product/index/id/6430833/</t>
        </is>
      </c>
      <c r="E10" s="17" t="n">
        <v>239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Дневник</t>
        </is>
      </c>
      <c r="C11" s="15" t="n">
        <v>1</v>
      </c>
      <c r="D11" s="16" t="inlineStr">
        <is>
          <t>https://www.detmir.ru/product/index/id/6462321/</t>
        </is>
      </c>
      <c r="E11" s="17" t="n">
        <v>329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Доска для пластилина</t>
        </is>
      </c>
      <c r="C12" s="15" t="n">
        <v>1</v>
      </c>
      <c r="D12" s="16" t="inlineStr">
        <is>
          <t>https://www.detmir.ru/search/results/?qt=%D0%B4%D0%BE%D1%81%D0%BA%D0%B0%20%D0%B4%D0%BB%D1%8F%20%D0%BB%D0%B5%D0%BF%D0%BA%D0%B8</t>
        </is>
      </c>
      <c r="E12" s="17" t="n">
        <v>49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Закладки</t>
        </is>
      </c>
      <c r="C13" s="15" t="n">
        <v>3</v>
      </c>
      <c r="D13" s="16" t="inlineStr">
        <is>
          <t>https://www.detmir.ru/search/results/?qt=%D0%B7%D0%B0%D0%BA%D0%BB%D0%B0%D0%B4%D0%BA%D0%B8%20%D0%B4%D0%BB%D1%8F%20%D0%BA%D0%BD%D0%B8%D0%B3</t>
        </is>
      </c>
      <c r="E13" s="17" t="n">
        <v>39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Карандаш простой HB</t>
        </is>
      </c>
      <c r="C14" s="15" t="n">
        <v>10</v>
      </c>
      <c r="D14" s="16" t="inlineStr">
        <is>
          <t>https://www.detmir.ru/search/results/?qt=%D0%BA%D0%B0%D1%80%D0%B0%D0%BD%D0%B4%D0%B0%D1%88%20HB</t>
        </is>
      </c>
      <c r="E14" s="17" t="n">
        <v>20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Карандаши цветные 36</t>
        </is>
      </c>
      <c r="C15" s="15" t="n">
        <v>2</v>
      </c>
      <c r="D15" s="16" t="inlineStr">
        <is>
          <t>https://www.detmir.ru/product/index/id/6016009/</t>
        </is>
      </c>
      <c r="E15" s="17" t="n">
        <v>328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Картон цветной</t>
        </is>
      </c>
      <c r="C16" s="15" t="n">
        <v>1</v>
      </c>
      <c r="D16" s="16" t="inlineStr">
        <is>
          <t>https://www.detmir.ru/search/results/?qt=%D0%BA%D0%B0%D1%80%D1%82%D0%BE%D0%BD%20%D1%86%D0%B2%D0%B5%D1%82%D0%BD%D0%BE%D0%B9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Клей ПВА</t>
        </is>
      </c>
      <c r="C17" s="15" t="n">
        <v>2</v>
      </c>
      <c r="D17" s="16" t="inlineStr">
        <is>
          <t>https://www.detmir.ru/search/results/?qt=%D0%BA%D0%BB%D0%B5%D0%B9%20%D0%9F%D0%92%D0%90</t>
        </is>
      </c>
      <c r="E17" s="17" t="n">
        <v>79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Клей-карандаш</t>
        </is>
      </c>
      <c r="C18" s="15" t="n">
        <v>2</v>
      </c>
      <c r="D18" s="16" t="inlineStr">
        <is>
          <t>https://www.detmir.ru/search/results/?qt=%D0%BA%D0%BB%D0%B5%D0%B9-%D0%BA%D0%B0%D1%80%D0%B0%D0%BD%D0%B4%D0%B0%D1%88</t>
        </is>
      </c>
      <c r="E18" s="17" t="n">
        <v>59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Корректор</t>
        </is>
      </c>
      <c r="C19" s="15" t="n">
        <v>2</v>
      </c>
      <c r="D19" s="16" t="inlineStr">
        <is>
          <t>https://www.detmir.ru/search/results/?qt=%D0%BA%D0%BE%D1%80%D1%80%D0%B5%D0%BA%D1%82%D0%BE%D1%80%20%D1%88%D0%BA%D0%BE%D0%BB%D1%8C%D0%BD%D1%8B%D0%B9</t>
        </is>
      </c>
      <c r="E19" s="17" t="n">
        <v>59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Ластик</t>
        </is>
      </c>
      <c r="C20" s="15" t="n">
        <v>3</v>
      </c>
      <c r="D20" s="16" t="inlineStr">
        <is>
          <t>https://www.detmir.ru/search/results/?qt=%D0%BB%D0%B0%D1%81%D1%82%D0%B8%D0%BA</t>
        </is>
      </c>
      <c r="E20" s="17" t="n">
        <v>39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Линейка</t>
        </is>
      </c>
      <c r="C21" s="15" t="n">
        <v>1</v>
      </c>
      <c r="D21" s="16" t="inlineStr">
        <is>
          <t>https://www.detmir.ru/search/results/?qt=%D0%BB%D0%B8%D0%BD%D0%B5%D0%B9%D0%BA%D0%B0%2020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Набор кистей</t>
        </is>
      </c>
      <c r="C22" s="15" t="n">
        <v>1</v>
      </c>
      <c r="D22" s="16" t="inlineStr">
        <is>
          <t>https://www.detmir.ru/search/results/?qt=%D0%BA%D0%B8%D1%81%D1%82%D0%B8</t>
        </is>
      </c>
      <c r="E22" s="17" t="n">
        <v>99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Набор обложек</t>
        </is>
      </c>
      <c r="C23" s="15" t="n">
        <v>2</v>
      </c>
      <c r="D23" s="16" t="inlineStr">
        <is>
          <t>https://www.detmir.ru/product/index/id/6724733/</t>
        </is>
      </c>
      <c r="E23" s="17" t="n">
        <v>179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Непроливайка</t>
        </is>
      </c>
      <c r="C24" s="15" t="n">
        <v>1</v>
      </c>
      <c r="D24" s="16" t="inlineStr">
        <is>
          <t>https://www.detmir.ru/search/results/?qt=%D0%BD%D0%B5%D0%BF%D1%80%D0%BE%D0%BB%D0%B8%D0%B2%D0%B0%D0%B9%D0%BA%D0%B0</t>
        </is>
      </c>
      <c r="E24" s="17" t="n">
        <v>79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Ножницы</t>
        </is>
      </c>
      <c r="C25" s="15" t="n">
        <v>1</v>
      </c>
      <c r="D25" s="16" t="inlineStr">
        <is>
          <t>https://www.detmir.ru/search/results/?qt=%D0%BD%D0%BE%D0%B6%D0%BD%D0%B8%D1%86%D1%8B%20%D0%B4%D0%B5%D1%82%D1%81%D0%BA%D0%B8%D0%B5</t>
        </is>
      </c>
      <c r="E25" s="17" t="n">
        <v>129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Обложка для дневника</t>
        </is>
      </c>
      <c r="C26" s="15" t="n">
        <v>1</v>
      </c>
      <c r="D26" s="16" t="inlineStr">
        <is>
          <t>https://www.detmir.ru/product/index/id/6442038/</t>
        </is>
      </c>
      <c r="E26" s="17" t="n">
        <v>49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Обложки для учебников</t>
        </is>
      </c>
      <c r="C27" s="15" t="n">
        <v>1</v>
      </c>
      <c r="D27" s="16" t="inlineStr">
        <is>
          <t>https://www.detmir.ru/catalog/index/name/cover_notebook/</t>
        </is>
      </c>
      <c r="E27" s="17" t="n">
        <v>199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Папка для тетрадей</t>
        </is>
      </c>
      <c r="C28" s="15" t="n">
        <v>1</v>
      </c>
      <c r="D28" s="16" t="inlineStr">
        <is>
          <t>https://www.detmir.ru/search/results/?qt=%D0%BF%D0%B0%D0%BF%D0%BA%D0%B0%20%D0%B4%D0%BB%D1%8F%20%D1%82%D0%B5%D1%82%D1%80%D0%B0%D0%B4%D0%B5%D0%B9</t>
        </is>
      </c>
      <c r="E28" s="17" t="n">
        <v>199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Папка для труда</t>
        </is>
      </c>
      <c r="C29" s="15" t="n">
        <v>1</v>
      </c>
      <c r="D29" s="16" t="inlineStr">
        <is>
          <t>https://www.detmir.ru/search/results/?qt=%D0%BF%D0%B0%D0%BF%D0%BA%D0%B0%20%D0%B4%D0%BB%D1%8F%20%D1%82%D1%80%D1%83%D0%B4%D0%B0</t>
        </is>
      </c>
      <c r="E29" s="17" t="n">
        <v>349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Пенал</t>
        </is>
      </c>
      <c r="C30" s="15" t="n">
        <v>1</v>
      </c>
      <c r="D30" s="16" t="inlineStr">
        <is>
          <t>https://www.detmir.ru/product/index/id/6400444/</t>
        </is>
      </c>
      <c r="E30" s="17" t="n">
        <v>479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Пластилин 12 цв.</t>
        </is>
      </c>
      <c r="C31" s="15" t="n">
        <v>1</v>
      </c>
      <c r="D31" s="16" t="inlineStr">
        <is>
          <t>https://www.detmir.ru/search/results/?qt=%D0%BF%D0%BB%D0%B0%D1%81%D1%82%D0%B8%D0%BB%D0%B8%D0%BD</t>
        </is>
      </c>
      <c r="E31" s="17" t="n">
        <v>149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Ручка синяя</t>
        </is>
      </c>
      <c r="C32" s="15" t="n">
        <v>10</v>
      </c>
      <c r="D32" s="16" t="inlineStr">
        <is>
          <t>https://www.detmir.ru/product/index/id/6505850/</t>
        </is>
      </c>
      <c r="E32" s="17" t="n">
        <v>50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Тетрадь в клетку 18 л., твёрдая обложка</t>
        </is>
      </c>
      <c r="C33" s="15" t="n">
        <v>20</v>
      </c>
      <c r="D33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33" s="17" t="n">
        <v>50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Тетрадь в линейку 12 л.</t>
        </is>
      </c>
      <c r="C34" s="15" t="n">
        <v>20</v>
      </c>
      <c r="D34" s="16" t="inlineStr">
        <is>
          <t>https://www.detmir.ru/product/index/id/6683471/</t>
        </is>
      </c>
      <c r="E34" s="17" t="n">
        <v>13.9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Точилка</t>
        </is>
      </c>
      <c r="C35" s="15" t="n">
        <v>1</v>
      </c>
      <c r="D35" s="16" t="inlineStr">
        <is>
          <t>https://www.detmir.ru/search/results/?qt=%D1%82%D0%BE%D1%87%D0%B8%D0%BB%D0%BA%D0%B0</t>
        </is>
      </c>
      <c r="E35" s="17" t="n">
        <v>79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Учебные пособия</t>
        </is>
      </c>
      <c r="C36" s="15" t="n">
        <v>1</v>
      </c>
      <c r="D36" s="16" t="inlineStr">
        <is>
          <t>https://www.detmir.ru/search/results/?qt=%D1%83%D1%87%D0%B5%D0%B1%D0%BD%D1%8B%D0%B5%20%D0%BF%D0%BE%D1%81%D0%BE%D0%B1%D0%B8%D1%8F</t>
        </is>
      </c>
      <c r="E36" s="17" t="n">
        <v>2000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Фломастеры 50</t>
        </is>
      </c>
      <c r="C37" s="15" t="n">
        <v>2</v>
      </c>
      <c r="D37" s="16" t="inlineStr">
        <is>
          <t>https://www.detmir.ru/product/index/id/3293711/</t>
        </is>
      </c>
      <c r="E37" s="17" t="n">
        <v>549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Цветная бумага</t>
        </is>
      </c>
      <c r="C38" s="15" t="n">
        <v>1</v>
      </c>
      <c r="D38" s="16" t="inlineStr">
        <is>
          <t>https://www.detmir.ru/search/results/?qt=%D1%86%D0%B2%D0%B5%D1%82%D0%BD%D0%B0%D1%8F%20%D0%B1%D1%83%D0%BC%D0%B0%D0%B3%D0%B0</t>
        </is>
      </c>
      <c r="E38" s="17" t="n">
        <v>69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40">
      <c r="A40" s="10" t="inlineStr">
        <is>
          <t>Итого: Школа: принадлежности</t>
        </is>
      </c>
      <c r="B40" s="10" t="n"/>
      <c r="C40" s="10" t="n"/>
      <c r="D40" s="10" t="n"/>
      <c r="E40" s="10" t="n"/>
      <c r="F40" s="10" t="n"/>
      <c r="G40" s="11">
        <f>G5+G6+G7+G8+G9+G10+G11+G12+G13+G14+G15+G16+G17+G18+G19+G20+G21+G22+G23+G24+G25+G26+G27+G28+G29+G30+G31+G32+G33+G34+G35+G36+G37+G38</f>
        <v/>
      </c>
      <c r="H40" s="11">
        <f>IF(G40=0,0,G40/12)</f>
        <v/>
      </c>
    </row>
  </sheetData>
  <mergeCells count="3">
    <mergeCell ref="A2:H2"/>
    <mergeCell ref="A40:F40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</hyperlink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Школа: регулярные платежи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Питание в школе</t>
        </is>
      </c>
      <c r="C5" s="17" t="n">
        <v>17000</v>
      </c>
      <c r="D5" s="15" t="inlineStr">
        <is>
          <t>год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Платный курс (школа)</t>
        </is>
      </c>
      <c r="C6" s="17" t="n">
        <v>300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Взносы в школу</t>
        </is>
      </c>
      <c r="C7" s="17" t="n">
        <v>3000</v>
      </c>
      <c r="D7" s="15" t="inlineStr">
        <is>
          <t>год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9">
      <c r="A9" s="10" t="inlineStr">
        <is>
          <t>Итого: Школа: регулярные платежи</t>
        </is>
      </c>
      <c r="B9" s="10" t="n"/>
      <c r="C9" s="10" t="n"/>
      <c r="D9" s="10" t="n"/>
      <c r="E9" s="11">
        <f>E5+E6+E7</f>
        <v/>
      </c>
      <c r="F9" s="11">
        <f>IF(E9=0,0,E9/12)</f>
        <v/>
      </c>
    </row>
  </sheetData>
  <mergeCells count="3">
    <mergeCell ref="A2:F2"/>
    <mergeCell ref="A9:D9"/>
    <mergeCell ref="A1:F1"/>
  </mergeCells>
  <dataValidations count="1">
    <dataValidation sqref="D5:D7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Школа: дополнительные расходы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Поездки и мероприятия школы</t>
        </is>
      </c>
      <c r="C7" s="15" t="n">
        <v>12</v>
      </c>
      <c r="D7" s="17" t="n">
        <v>500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9">
      <c r="A9" s="10" t="inlineStr">
        <is>
          <t>Итого: Школа: дополнительные расходы</t>
        </is>
      </c>
      <c r="B9" s="10" t="n"/>
      <c r="C9" s="10" t="n"/>
      <c r="D9" s="10" t="n"/>
      <c r="E9" s="10" t="n"/>
      <c r="F9" s="11">
        <f>F5+F6+F7</f>
        <v/>
      </c>
      <c r="G9" s="11">
        <f>IF(F9=0,0,F9/12)</f>
        <v/>
      </c>
    </row>
  </sheetData>
  <mergeCells count="3">
    <mergeCell ref="A2:G2"/>
    <mergeCell ref="A9:E9"/>
    <mergeCell ref="A1:G1"/>
  </mergeCell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образование: обеспечение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Защита голени</t>
        </is>
      </c>
      <c r="C6" s="15" t="n">
        <v>1</v>
      </c>
      <c r="D6" s="16" t="inlineStr">
        <is>
          <t>https://karate.ru/shop/catalog/407-perchatki-mma-sinie-kozhzamenitel-combat-sambo-green-hill/</t>
        </is>
      </c>
      <c r="E6" s="17" t="n">
        <v>2190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Ласты</t>
        </is>
      </c>
      <c r="C7" s="15" t="n">
        <v>1</v>
      </c>
      <c r="D7" s="16" t="inlineStr">
        <is>
          <t>https://www.detmir.ru/search/results/?qt=%D0%BB%D0%B0%D1%81%D1%82%D1%8B%20%D0%B4%D0%B5%D1%82%D1%81%D0%BA%D0%B8%D0%B5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для самбо</t>
        </is>
      </c>
      <c r="C8" s="15" t="n">
        <v>1</v>
      </c>
      <c r="D8" s="16" t="inlineStr">
        <is>
          <t>https://dantesport.ru/product_info.php?products_id=1207</t>
        </is>
      </c>
      <c r="E8" s="17" t="n">
        <v>2990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Плавки</t>
        </is>
      </c>
      <c r="C9" s="15" t="n">
        <v>1</v>
      </c>
      <c r="D9" s="16" t="inlineStr">
        <is>
          <t>https://www.detmir.ru/catalog/index/name/plavki/</t>
        </is>
      </c>
      <c r="E9" s="17" t="n">
        <v>599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Полотенце для плавания</t>
        </is>
      </c>
      <c r="C10" s="15" t="n">
        <v>1</v>
      </c>
      <c r="D10" s="16" t="inlineStr">
        <is>
          <t>https://www.detmir.ru/search/results/?qt=%D0%BF%D0%BE%D0%BB%D0%BE%D1%82%D0%B5%D0%BD%D1%86%D0%B5%20%D0%BF%D0%BB%D0%B0%D0%B2%D0%B0%D0%BD%D0%B8%D0%B5</t>
        </is>
      </c>
      <c r="E10" s="17" t="n">
        <v>499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Шорты для самбо</t>
        </is>
      </c>
      <c r="C11" s="15" t="n">
        <v>1</v>
      </c>
      <c r="D11" s="16" t="inlineStr">
        <is>
          <t>https://rocky-shop.ru/ekipirovka-dlya-edinoborstv/detskie-bortscovki-dlya-sambo-green-hill-triumf-odobreny-fias-27458.html</t>
        </is>
      </c>
      <c r="E11" s="17" t="n">
        <v>1990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Сумка для самбо</t>
        </is>
      </c>
      <c r="C12" s="15" t="n">
        <v>1</v>
      </c>
      <c r="D12" s="16" t="inlineStr">
        <is>
          <t>https://www.detmir.ru/search/results/?qt=%D1%81%D0%BF%D0%BE%D1%80%D1%82%D0%B8%D0%B2%D0%BD%D0%B0%D1%8F%20%D1%81%D1%83%D0%BC%D0%BA%D0%B0</t>
        </is>
      </c>
      <c r="E12" s="17" t="n">
        <v>1499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Дополнительное образование: обеспечение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образование: платежи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образование: платежи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Связь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Связь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День рождения: подарок</t>
        </is>
      </c>
      <c r="C5" s="15" t="n">
        <v>1</v>
      </c>
      <c r="D5" s="17" t="n">
        <v>5000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День рождения: стол</t>
        </is>
      </c>
      <c r="C6" s="15" t="n">
        <v>1</v>
      </c>
      <c r="D6" s="17" t="n">
        <v>5000</v>
      </c>
      <c r="E6" s="15" t="n">
        <v>1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Новый год: подарок ребёнку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Подарок на 23 февраля</t>
        </is>
      </c>
      <c r="C8" s="15" t="n">
        <v>1</v>
      </c>
      <c r="D8" s="17" t="n">
        <v>2000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Хотелочки</t>
        </is>
      </c>
      <c r="C9" s="15" t="n">
        <v>12</v>
      </c>
      <c r="D9" s="17" t="n">
        <v>2000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1">
      <c r="A11" s="10" t="inlineStr">
        <is>
          <t>Итого: Праздники</t>
        </is>
      </c>
      <c r="B11" s="10" t="n"/>
      <c r="C11" s="10" t="n"/>
      <c r="D11" s="10" t="n"/>
      <c r="E11" s="10" t="n"/>
      <c r="F11" s="11">
        <f>F5+F6+F7+F8+F9</f>
        <v/>
      </c>
      <c r="G11" s="11">
        <f>IF(F11=0,0,F11/12)</f>
        <v/>
      </c>
    </row>
  </sheetData>
  <mergeCells count="3">
    <mergeCell ref="A11:E11"/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Отдых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2026-08-13T06:49:54Z</dcterms:created>
  <dcterms:modified xmlns:dcterms="http://purl.org/dc/terms/" xmlns:xsi="http://www.w3.org/2001/XMLSchema-instance" xsi:type="dcterms:W3CDTF">2026-08-13T06:49:54Z</dcterms:modified>
</cp:coreProperties>
</file>