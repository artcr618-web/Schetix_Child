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Читать" sheetId="1" state="visible" r:id="rId1"/>
    <sheet name="01_Глоссарий" sheetId="2" state="visible" r:id="rId2"/>
    <sheet name="02_Параметры" sheetId="3" state="visible" r:id="rId3"/>
    <sheet name="03_Каталоги" sheetId="4" state="visible" r:id="rId4"/>
    <sheet name="04_Блоки" sheetId="5" state="visible" r:id="rId5"/>
    <sheet name="05_Сводка" sheetId="6" state="visible" r:id="rId6"/>
    <sheet name="06_Методика" sheetId="7" state="visible" r:id="rId7"/>
    <sheet name="07_Тексты" sheetId="8" state="visible" r:id="rId8"/>
    <sheet name="08_Палитра" sheetId="9" state="visible" r:id="rId9"/>
    <sheet name="09_Интерфейс" sheetId="10" state="visible" r:id="rId10"/>
  </sheets>
  <definedNames>
    <definedName name="FamilySize">'02_Параметры'!$C$6</definedName>
    <definedName name="WeeksYear">'02_Параметры'!$C$12</definedName>
    <definedName name="MonthsYear">'02_Параметры'!$C$11</definedName>
    <definedName name="_xlnm._FilterDatabase" localSheetId="1" hidden="1">'01_Глоссарий'!$A$11:$D$11</definedName>
    <definedName name="_xlnm._FilterDatabase" localSheetId="2" hidden="1">'02_Параметры'!$A$5:$G$5</definedName>
    <definedName name="_xlnm._FilterDatabase" localSheetId="3" hidden="1">'03_Каталоги'!$A$4:$M$230</definedName>
    <definedName name="_xlnm.Print_Titles" localSheetId="3">'03_Каталоги'!$1:$4</definedName>
    <definedName name="_xlnm._FilterDatabase" localSheetId="4" hidden="1">'04_Блоки'!$A$4:$H$34</definedName>
    <definedName name="_xlnm._FilterDatabase" localSheetId="5" hidden="1">'05_Сводка'!$A$5:$E$35</definedName>
    <definedName name="_xlnm._FilterDatabase" localSheetId="6" hidden="1">'06_Методика'!$A$5:$C$5</definedName>
    <definedName name="_xlnm._FilterDatabase" localSheetId="7" hidden="1">'07_Тексты'!$A$4:$D$13</definedName>
    <definedName name="_xlnm._FilterDatabase" localSheetId="8" hidden="1">'08_Палитра'!$A$4:$D$4</definedName>
    <definedName name="_xlnm._FilterDatabase" localSheetId="9" hidden="1">'09_Интерфейс'!$A$5:$D$5</definedName>
  </definedNames>
  <calcPr calcId="124519" fullCalcOnLoad="1"/>
</workbook>
</file>

<file path=xl/styles.xml><?xml version="1.0" encoding="utf-8"?>
<styleSheet xmlns="http://schemas.openxmlformats.org/spreadsheetml/2006/main">
  <numFmts count="1">
    <numFmt numFmtId="164" formatCode="# ##0&quot; ₽&quot;"/>
  </numFmts>
  <fonts count="10">
    <font>
      <name val="Calibri"/>
      <family val="2"/>
      <color theme="1"/>
      <sz val="11"/>
      <scheme val="minor"/>
    </font>
    <font>
      <name val="Arial"/>
      <b val="1"/>
      <color rgb="001F3864"/>
      <sz val="15"/>
    </font>
    <font>
      <name val="Arial"/>
      <color rgb="00808080"/>
      <sz val="9"/>
    </font>
    <font>
      <name val="Arial"/>
      <b val="1"/>
      <color rgb="00FFFFFF"/>
      <sz val="11"/>
    </font>
    <font>
      <name val="Arial"/>
      <b val="1"/>
      <color rgb="00FFFFFF"/>
      <sz val="10"/>
    </font>
    <font>
      <name val="Arial"/>
      <b val="1"/>
      <sz val="10"/>
    </font>
    <font>
      <name val="Arial"/>
      <sz val="10"/>
    </font>
    <font>
      <name val="Consolas"/>
      <sz val="10"/>
    </font>
    <font>
      <name val="Arial"/>
      <b val="1"/>
      <color rgb="001F3864"/>
      <sz val="10"/>
    </font>
    <font>
      <name val="Arial"/>
      <color rgb="000563C1"/>
      <sz val="10"/>
      <u val="single"/>
    </font>
  </fonts>
  <fills count="37">
    <fill>
      <patternFill/>
    </fill>
    <fill>
      <patternFill patternType="gray125"/>
    </fill>
    <fill>
      <patternFill patternType="solid">
        <fgColor rgb="001F3864"/>
      </patternFill>
    </fill>
    <fill>
      <patternFill patternType="solid">
        <fgColor rgb="004472C4"/>
      </patternFill>
    </fill>
    <fill>
      <patternFill patternType="solid">
        <fgColor rgb="00FFF2CC"/>
      </patternFill>
    </fill>
    <fill>
      <patternFill patternType="solid">
        <fgColor rgb="00E2EFDA"/>
      </patternFill>
    </fill>
    <fill>
      <patternFill patternType="solid">
        <fgColor rgb="00F2F2F2"/>
      </patternFill>
    </fill>
    <fill>
      <patternFill patternType="solid">
        <fgColor rgb="00D9E2F3"/>
      </patternFill>
    </fill>
    <fill>
      <patternFill patternType="solid">
        <fgColor rgb="001A1A1A"/>
      </patternFill>
    </fill>
    <fill>
      <patternFill patternType="solid">
        <fgColor rgb="00374151"/>
      </patternFill>
    </fill>
    <fill>
      <patternFill patternType="solid">
        <fgColor rgb="004B5563"/>
      </patternFill>
    </fill>
    <fill>
      <patternFill patternType="solid">
        <fgColor rgb="006B7280"/>
      </patternFill>
    </fill>
    <fill>
      <patternFill patternType="solid">
        <fgColor rgb="009CA3AF"/>
      </patternFill>
    </fill>
    <fill>
      <patternFill patternType="solid">
        <fgColor rgb="00B6BCC4"/>
      </patternFill>
    </fill>
    <fill>
      <patternFill patternType="solid">
        <fgColor rgb="00E5E7EB"/>
      </patternFill>
    </fill>
    <fill>
      <patternFill patternType="solid">
        <fgColor rgb="00F0F2F5"/>
      </patternFill>
    </fill>
    <fill>
      <patternFill patternType="solid">
        <fgColor rgb="00F5F6F8"/>
      </patternFill>
    </fill>
    <fill>
      <patternFill patternType="solid">
        <fgColor rgb="00FAFBFC"/>
      </patternFill>
    </fill>
    <fill>
      <patternFill patternType="solid">
        <fgColor rgb="00FFFFFF"/>
      </patternFill>
    </fill>
    <fill>
      <patternFill patternType="solid">
        <fgColor rgb="00F5FBF7"/>
      </patternFill>
    </fill>
    <fill>
      <patternFill patternType="solid">
        <fgColor rgb="00EAF6EE"/>
      </patternFill>
    </fill>
    <fill>
      <patternFill patternType="solid">
        <fgColor rgb="00D8EEDF"/>
      </patternFill>
    </fill>
    <fill>
      <patternFill patternType="solid">
        <fgColor rgb="00A9DDB8"/>
      </patternFill>
    </fill>
    <fill>
      <patternFill patternType="solid">
        <fgColor rgb="006FD183"/>
      </patternFill>
    </fill>
    <fill>
      <patternFill patternType="solid">
        <fgColor rgb="004FC26A"/>
      </patternFill>
    </fill>
    <fill>
      <patternFill patternType="solid">
        <fgColor rgb="0021A038"/>
      </patternFill>
    </fill>
    <fill>
      <patternFill patternType="solid">
        <fgColor rgb="001B9331"/>
      </patternFill>
    </fill>
    <fill>
      <patternFill patternType="solid">
        <fgColor rgb="00158026"/>
      </patternFill>
    </fill>
    <fill>
      <patternFill patternType="solid">
        <fgColor rgb="000B6B22"/>
      </patternFill>
    </fill>
    <fill>
      <patternFill patternType="solid">
        <fgColor rgb="0014532D"/>
      </patternFill>
    </fill>
    <fill>
      <patternFill patternType="solid">
        <fgColor rgb="00FFF6F6"/>
      </patternFill>
    </fill>
    <fill>
      <patternFill patternType="solid">
        <fgColor rgb="00EF4444"/>
      </patternFill>
    </fill>
    <fill>
      <patternFill patternType="solid">
        <fgColor rgb="00B91C1C"/>
      </patternFill>
    </fill>
    <fill>
      <patternFill patternType="solid">
        <fgColor rgb="00FFFBEF"/>
      </patternFill>
    </fill>
    <fill>
      <patternFill patternType="solid">
        <fgColor rgb="00FEF3D6"/>
      </patternFill>
    </fill>
    <fill>
      <patternFill patternType="solid">
        <fgColor rgb="005CA8E0"/>
      </patternFill>
    </fill>
    <fill>
      <patternFill patternType="solid">
        <fgColor rgb="003B82F6"/>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50">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0" fillId="2" borderId="1" pivotButton="0" quotePrefix="0" xfId="0"/>
    <xf numFmtId="0" fontId="4" fillId="3"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5" fillId="4" borderId="1" applyAlignment="1" pivotButton="0" quotePrefix="0" xfId="0">
      <alignment horizontal="left" vertical="center" wrapText="1"/>
    </xf>
    <xf numFmtId="0" fontId="5" fillId="5" borderId="1" applyAlignment="1" pivotButton="0" quotePrefix="0" xfId="0">
      <alignment horizontal="left" vertical="center" wrapText="1"/>
    </xf>
    <xf numFmtId="0" fontId="5" fillId="6" borderId="1" applyAlignment="1" pivotButton="0" quotePrefix="0" xfId="0">
      <alignment horizontal="left" vertical="center" wrapText="1"/>
    </xf>
    <xf numFmtId="0" fontId="7" fillId="6" borderId="1" applyAlignment="1" pivotButton="0" quotePrefix="0" xfId="0">
      <alignment horizontal="center" vertical="center" wrapText="1"/>
    </xf>
    <xf numFmtId="0" fontId="6" fillId="4" borderId="1" applyAlignment="1" pivotButton="0" quotePrefix="0" xfId="0">
      <alignment horizontal="center" vertical="center" wrapText="1"/>
    </xf>
    <xf numFmtId="0" fontId="8" fillId="7" borderId="1" applyAlignment="1" pivotButton="0" quotePrefix="0" xfId="0">
      <alignment horizontal="center" vertical="center" wrapText="1"/>
    </xf>
    <xf numFmtId="0" fontId="6" fillId="6" borderId="1" applyAlignment="1" pivotButton="0" quotePrefix="0" xfId="0">
      <alignment horizontal="center" vertical="center" wrapText="1"/>
    </xf>
    <xf numFmtId="164" fontId="6" fillId="4" borderId="1" applyAlignment="1" pivotButton="0" quotePrefix="0" xfId="0">
      <alignment horizontal="center" vertical="center" wrapText="1"/>
    </xf>
    <xf numFmtId="0" fontId="9" fillId="0" borderId="1" applyAlignment="1" pivotButton="0" quotePrefix="0" xfId="0">
      <alignment horizontal="left" vertical="center" wrapText="1"/>
    </xf>
    <xf numFmtId="0" fontId="6" fillId="5" borderId="1" applyAlignment="1" pivotButton="0" quotePrefix="0" xfId="0">
      <alignment horizontal="center" vertical="center" wrapText="1"/>
    </xf>
    <xf numFmtId="164" fontId="6" fillId="5" borderId="1" applyAlignment="1" pivotButton="0" quotePrefix="0" xfId="0">
      <alignment horizontal="right" vertical="center"/>
    </xf>
    <xf numFmtId="164" fontId="3" fillId="2" borderId="1" pivotButton="0" quotePrefix="0" xfId="0"/>
    <xf numFmtId="0" fontId="0" fillId="8" borderId="1" pivotButton="0" quotePrefix="0" xfId="0"/>
    <xf numFmtId="0" fontId="0" fillId="9" borderId="1" pivotButton="0" quotePrefix="0" xfId="0"/>
    <xf numFmtId="0" fontId="0" fillId="10" borderId="1" pivotButton="0" quotePrefix="0" xfId="0"/>
    <xf numFmtId="0" fontId="0" fillId="11" borderId="1" pivotButton="0" quotePrefix="0" xfId="0"/>
    <xf numFmtId="0" fontId="0" fillId="12" borderId="1" pivotButton="0" quotePrefix="0" xfId="0"/>
    <xf numFmtId="0" fontId="0" fillId="13" borderId="1" pivotButton="0" quotePrefix="0" xfId="0"/>
    <xf numFmtId="0" fontId="0" fillId="14" borderId="1" pivotButton="0" quotePrefix="0" xfId="0"/>
    <xf numFmtId="0" fontId="0" fillId="15" borderId="1" pivotButton="0" quotePrefix="0" xfId="0"/>
    <xf numFmtId="0" fontId="0" fillId="16" borderId="1" pivotButton="0" quotePrefix="0" xfId="0"/>
    <xf numFmtId="0" fontId="0" fillId="17" borderId="1" pivotButton="0" quotePrefix="0" xfId="0"/>
    <xf numFmtId="0" fontId="0" fillId="18" borderId="1" pivotButton="0" quotePrefix="0" xfId="0"/>
    <xf numFmtId="0" fontId="0" fillId="19" borderId="1" pivotButton="0" quotePrefix="0" xfId="0"/>
    <xf numFmtId="0" fontId="0" fillId="20" borderId="1" pivotButton="0" quotePrefix="0" xfId="0"/>
    <xf numFmtId="0" fontId="0" fillId="21" borderId="1" pivotButton="0" quotePrefix="0" xfId="0"/>
    <xf numFmtId="0" fontId="0" fillId="22" borderId="1" pivotButton="0" quotePrefix="0" xfId="0"/>
    <xf numFmtId="0" fontId="0" fillId="23" borderId="1" pivotButton="0" quotePrefix="0" xfId="0"/>
    <xf numFmtId="0" fontId="0" fillId="24" borderId="1" pivotButton="0" quotePrefix="0" xfId="0"/>
    <xf numFmtId="0" fontId="0" fillId="25" borderId="1" pivotButton="0" quotePrefix="0" xfId="0"/>
    <xf numFmtId="0" fontId="0" fillId="26" borderId="1" pivotButton="0" quotePrefix="0" xfId="0"/>
    <xf numFmtId="0" fontId="0" fillId="27" borderId="1" pivotButton="0" quotePrefix="0" xfId="0"/>
    <xf numFmtId="0" fontId="0" fillId="28" borderId="1" pivotButton="0" quotePrefix="0" xfId="0"/>
    <xf numFmtId="0" fontId="0" fillId="29" borderId="1" pivotButton="0" quotePrefix="0" xfId="0"/>
    <xf numFmtId="0" fontId="0" fillId="30" borderId="1" pivotButton="0" quotePrefix="0" xfId="0"/>
    <xf numFmtId="0" fontId="0" fillId="31" borderId="1" pivotButton="0" quotePrefix="0" xfId="0"/>
    <xf numFmtId="0" fontId="0" fillId="32" borderId="1" pivotButton="0" quotePrefix="0" xfId="0"/>
    <xf numFmtId="0" fontId="0" fillId="33" borderId="1" pivotButton="0" quotePrefix="0" xfId="0"/>
    <xf numFmtId="0" fontId="0" fillId="34" borderId="1" pivotButton="0" quotePrefix="0" xfId="0"/>
    <xf numFmtId="0" fontId="0" fillId="35" borderId="1" pivotButton="0" quotePrefix="0" xfId="0"/>
    <xf numFmtId="0" fontId="0" fillId="3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10"/>
  <chart>
    <title>
      <tx>
        <rich>
          <a:bodyPr/>
          <a:p>
            <a:pPr>
              <a:defRPr/>
            </a:pPr>
            <a:r>
              <a:t>Блоки, в месяц</a:t>
            </a:r>
          </a:p>
        </rich>
      </tx>
    </title>
    <plotArea>
      <barChart>
        <barDir val="bar"/>
        <grouping val="clustered"/>
        <ser>
          <idx val="0"/>
          <order val="0"/>
          <tx>
            <strRef>
              <f>'05_Сводка'!E5</f>
            </strRef>
          </tx>
          <spPr>
            <a:ln>
              <a:prstDash val="solid"/>
            </a:ln>
          </spPr>
          <cat>
            <numRef>
              <f>'05_Сводка'!$A$6:$A$35</f>
            </numRef>
          </cat>
          <val>
            <numRef>
              <f>'05_Сводка'!$E$6:$E$35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4</row>
      <rowOff>0</rowOff>
    </from>
    <ext cx="648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detmir.ru/search/results/?qt=%D0%B1%D0%B5%D0%B9%D1%81%D0%B1%D0%BE%D0%BB%D0%BA%D0%B0" TargetMode="External" Id="rId1" /><Relationship Type="http://schemas.openxmlformats.org/officeDocument/2006/relationships/hyperlink" Target="https://www.detmir.ru/search/results/?qt=%D0%B4%D0%BE%D0%B6%D0%B4%D0%B5%D0%B2%D0%B8%D0%BA%20%D0%B4%D0%B5%D1%82%D1%81%D0%BA%D0%B8%D0%B9" TargetMode="External" Id="rId2" /><Relationship Type="http://schemas.openxmlformats.org/officeDocument/2006/relationships/hyperlink" Target="https://www.detmir.ru/search/results/?qt=%D0%BF%D0%B5%D1%80%D1%87%D0%B0%D1%82%D0%BA%D0%B8%20%D0%B7%D0%B8%D0%BC%D0%BD%D0%B8%D0%B5" TargetMode="External" Id="rId3" /><Relationship Type="http://schemas.openxmlformats.org/officeDocument/2006/relationships/hyperlink" Target="https://www.detmir.ru/search/results/?qt=%D0%BF%D0%B5%D1%80%D1%87%D0%B0%D1%82%D0%BA%D0%B8" TargetMode="External" Id="rId4" /><Relationship Type="http://schemas.openxmlformats.org/officeDocument/2006/relationships/hyperlink" Target="https://www.detmir.ru/search/results/?qt=PlayToday%20%D0%BE%D1%87%D0%BA%D0%B8" TargetMode="External" Id="rId5" /><Relationship Type="http://schemas.openxmlformats.org/officeDocument/2006/relationships/hyperlink" Target="https://www.detmir.ru/search/results/?qt=%D1%81%D1%83%D0%BC%D0%BA%D0%B0%20%D0%B4%D0%BB%D1%8F%20%D0%BA%D0%BE%D0%BD%D1%8C%D0%BA%D0%BE%D0%B2" TargetMode="External" Id="rId6" /><Relationship Type="http://schemas.openxmlformats.org/officeDocument/2006/relationships/hyperlink" Target="https://www.detmir.ru/search/results/?qt=%D1%88%D0%B0%D0%BF%D0%BA%D0%B0%20%D0%B7%D0%B8%D0%BC%D0%BD%D1%8F%D1%8F" TargetMode="External" Id="rId7" /><Relationship Type="http://schemas.openxmlformats.org/officeDocument/2006/relationships/hyperlink" Target="https://www.detmir.ru/search/results/?qt=%D1%88%D0%B0%D0%BF%D0%BA%D0%B0%20%D0%BE%D1%81%D0%B5%D0%BD%D0%BD%D1%8F%D1%8F" TargetMode="External" Id="rId8" /><Relationship Type="http://schemas.openxmlformats.org/officeDocument/2006/relationships/hyperlink" Target="https://www.detmir.ru/search/results/?qt=%D1%88%D0%B0%D1%80%D1%84" TargetMode="External" Id="rId9" /><Relationship Type="http://schemas.openxmlformats.org/officeDocument/2006/relationships/hyperlink" Target="https://www.detmir.ru/product/index/id/6733145/" TargetMode="External" Id="rId10" /><Relationship Type="http://schemas.openxmlformats.org/officeDocument/2006/relationships/hyperlink" Target="https://www.detmir.ru/product/index/id/6550049/" TargetMode="External" Id="rId11" /><Relationship Type="http://schemas.openxmlformats.org/officeDocument/2006/relationships/hyperlink" Target="https://www.detmir.ru/search/results/?qt=%D0%BD%D0%BE%D1%81%D0%BA%D0%B8%20%D0%B7%D0%B8%D0%BC%D0%BD%D0%B8%D0%B5%20%D0%B4%D0%B5%D1%82%D1%81%D0%BA%D0%B8%D0%B5" TargetMode="External" Id="rId12" /><Relationship Type="http://schemas.openxmlformats.org/officeDocument/2006/relationships/hyperlink" Target="https://www.detmir.ru/search/results/?qt=%D1%82%D0%B5%D1%80%D0%BC%D0%BE%D0%B1%D0%B5%D0%BB%D1%8C%D0%B5" TargetMode="External" Id="rId13" /><Relationship Type="http://schemas.openxmlformats.org/officeDocument/2006/relationships/hyperlink" Target="https://www.detmir.ru/product/index/id/7072737/" TargetMode="External" Id="rId14" /><Relationship Type="http://schemas.openxmlformats.org/officeDocument/2006/relationships/hyperlink" Target="https://www.detmir.ru/product/index/id/6022408/" TargetMode="External" Id="rId15" /><Relationship Type="http://schemas.openxmlformats.org/officeDocument/2006/relationships/hyperlink" Target="https://www.detmir.ru/product/index/id/7061634/" TargetMode="External" Id="rId16" /><Relationship Type="http://schemas.openxmlformats.org/officeDocument/2006/relationships/hyperlink" Target="https://www.wildberries.ru/brands/orby" TargetMode="External" Id="rId17" /><Relationship Type="http://schemas.openxmlformats.org/officeDocument/2006/relationships/hyperlink" Target="https://www.detmir.ru/search/results/?qt=%D0%BA%D1%83%D1%80%D1%82%D0%BA%D0%B0%20%D0%BE%D1%81%D0%B5%D0%BD%D0%BD%D1%8F%D1%8F%20%D1%83%D1%82%D0%B5%D0%BF%D0%BB%D0%B5%D0%BD%D0%BD%D0%B0%D1%8F%20%D0%BC%D0%B0%D0%BB%D1%8C%D1%87%D0%B8%D0%BA" TargetMode="External" Id="rId18" /><Relationship Type="http://schemas.openxmlformats.org/officeDocument/2006/relationships/hyperlink" Target="https://www.detmir.ru/search/results/?qt=%D1%88%D1%82%D0%B0%D0%BD%D1%8B%20%D1%83%D1%82%D0%B5%D0%BF%D0%BB%D0%B5%D0%BD%D0%BD%D1%8B%D0%B5" TargetMode="External" Id="rId19" /><Relationship Type="http://schemas.openxmlformats.org/officeDocument/2006/relationships/hyperlink" Target="https://leroymerlin.ru/catalogue/tyul/" TargetMode="External" Id="rId20" /><Relationship Type="http://schemas.openxmlformats.org/officeDocument/2006/relationships/hyperlink" Target="https://leroymerlin.ru/catalogue/kovry/" TargetMode="External" Id="rId21" /><Relationship Type="http://schemas.openxmlformats.org/officeDocument/2006/relationships/hyperlink" Target="https://www.detmir.ru/search/results/?qt=%D0%BA%D0%BE%D0%BD%D1%82%D0%B5%D0%B9%D0%BD%D0%B5%D1%80%20%D0%B4%D0%BB%D1%8F%20%D0%B8%D0%B3%D1%80%D1%83%D1%88%D0%B5%D0%BA" TargetMode="External" Id="rId22" /><Relationship Type="http://schemas.openxmlformats.org/officeDocument/2006/relationships/hyperlink" Target="https://www.detmir.ru/search/results/?qt=%D0%BA%D1%80%D0%B5%D1%81%D0%BB%D0%BE" TargetMode="External" Id="rId23" /><Relationship Type="http://schemas.openxmlformats.org/officeDocument/2006/relationships/hyperlink" Target="https://www.detmir.ru/search/results/?qt=%D0%BA%D1%80%D0%B5%D1%81%D0%BB%D0%BE-%D0%BC%D0%B5%D1%88%D0%BE%D0%BA" TargetMode="External" Id="rId24" /><Relationship Type="http://schemas.openxmlformats.org/officeDocument/2006/relationships/hyperlink" Target="https://www.avito.ru/" TargetMode="External" Id="rId25" /><Relationship Type="http://schemas.openxmlformats.org/officeDocument/2006/relationships/hyperlink" Target="https://ormatek.com/catalog/matrasy/80x180/" TargetMode="External" Id="rId26" /><Relationship Type="http://schemas.openxmlformats.org/officeDocument/2006/relationships/hyperlink" Target="https://www.detmir.ru/search/results/?qt=%D0%BB%D0%B0%D0%BC%D0%BF%D0%B0" TargetMode="External" Id="rId27" /><Relationship Type="http://schemas.openxmlformats.org/officeDocument/2006/relationships/hyperlink" Target="https://www.detmir.ru/search/results/?qt=%D0%BD%D0%BE%D1%87%D0%BD%D0%B8%D0%BA" TargetMode="External" Id="rId28" /><Relationship Type="http://schemas.openxmlformats.org/officeDocument/2006/relationships/hyperlink" Target="https://www.detmir.ru/search/results/?qt=%D0%BE%D0%B4%D0%B5%D1%8F%D0%BB%D0%BE" TargetMode="External" Id="rId29" /><Relationship Type="http://schemas.openxmlformats.org/officeDocument/2006/relationships/hyperlink" Target="https://www.detmir.ru/search/results/?qt=%D0%BF%D0%BB%D0%B5%D0%B4" TargetMode="External" Id="rId30" /><Relationship Type="http://schemas.openxmlformats.org/officeDocument/2006/relationships/hyperlink" Target="https://www.detmir.ru/search/results/?qt=%D0%BF%D0%BE%D0%B4%D1%83%D1%88%D0%BA%D0%B0" TargetMode="External" Id="rId31" /><Relationship Type="http://schemas.openxmlformats.org/officeDocument/2006/relationships/hyperlink" Target="https://www.detmir.ru/search/results/?qt=%D0%BF%D0%BE%D0%B4%D1%83%D1%88%D0%BA%D0%B0%20%D0%B4%D0%B5%D0%BA%D0%BE%D1%80%D0%B0%D1%82%D0%B8%D0%B2%D0%BD%D0%B0%D1%8F" TargetMode="External" Id="rId32" /><Relationship Type="http://schemas.openxmlformats.org/officeDocument/2006/relationships/hyperlink" Target="https://www.detmir.ru/search/results/?qt=%D0%BF%D0%BE%D1%81%D1%82%D0%B5%D0%BB%D1%8C%D0%BD%D0%BE%D0%B5" TargetMode="External" Id="rId33" /><Relationship Type="http://schemas.openxmlformats.org/officeDocument/2006/relationships/hyperlink" Target="https://leroymerlin.ru/catalogue/lyustry/" TargetMode="External" Id="rId34" /><Relationship Type="http://schemas.openxmlformats.org/officeDocument/2006/relationships/hyperlink" Target="https://www.detmir.ru/catalog/index/name/stellsjy/" TargetMode="External" Id="rId35" /><Relationship Type="http://schemas.openxmlformats.org/officeDocument/2006/relationships/hyperlink" Target="https://www.detmir.ru/search/results/?qt=%D1%81%D1%82%D0%BE%D0%BB%20%D0%BF%D0%B8%D1%81%D1%8C%D0%BC%D0%B5%D0%BD%D0%BD%D1%8B%D0%B9" TargetMode="External" Id="rId36" /><Relationship Type="http://schemas.openxmlformats.org/officeDocument/2006/relationships/hyperlink" Target="https://leroymerlin.ru/search/?q=%D1%88%D0%BA%D0%B0%D1%84%20%D0%B4%D0%BB%D1%8F%20%D0%BE%D0%B4%D0%B5%D0%B6%D0%B4%D1%8B" TargetMode="External" Id="rId37" /><Relationship Type="http://schemas.openxmlformats.org/officeDocument/2006/relationships/hyperlink" Target="https://leroymerlin.ru/catalogue/shtory/" TargetMode="External" Id="rId38" /><Relationship Type="http://schemas.openxmlformats.org/officeDocument/2006/relationships/hyperlink" Target="https://www.dns-shop.ru/catalog/17a8a40216404e77/klaviatury/" TargetMode="External" Id="rId39" /><Relationship Type="http://schemas.openxmlformats.org/officeDocument/2006/relationships/hyperlink" Target="https://www.dns-shop.ru/catalog/17a9f9e316404e77/kovriki-dlya-myshi/" TargetMode="External" Id="rId40" /><Relationship Type="http://schemas.openxmlformats.org/officeDocument/2006/relationships/hyperlink" Target="https://www.dns-shop.ru/catalog/17a8914916404e77/kompyuternaya-akustika/" TargetMode="External" Id="rId41" /><Relationship Type="http://schemas.openxmlformats.org/officeDocument/2006/relationships/hyperlink" Target="https://www.dns-shop.ru/catalog/17a89bdd16404e77/mikrofoni/" TargetMode="External" Id="rId42" /><Relationship Type="http://schemas.openxmlformats.org/officeDocument/2006/relationships/hyperlink" Target="https://www.dns-shop.ru/catalog/17a8943716404e77/monitory/" TargetMode="External" Id="rId43" /><Relationship Type="http://schemas.openxmlformats.org/officeDocument/2006/relationships/hyperlink" Target="https://www.dns-shop.ru/catalog/17a8a4d816404e77/myshi/" TargetMode="External" Id="rId44" /><Relationship Type="http://schemas.openxmlformats.org/officeDocument/2006/relationships/hyperlink" Target="https://www.detmir.ru/search/results/?qt=%D0%BD%D0%B0%D1%83%D1%88%D0%BD%D0%B8%D0%BA%D0%B8" TargetMode="External" Id="rId45" /><Relationship Type="http://schemas.openxmlformats.org/officeDocument/2006/relationships/hyperlink" Target="https://www.avito.ru/" TargetMode="External" Id="rId46" /><Relationship Type="http://schemas.openxmlformats.org/officeDocument/2006/relationships/hyperlink" Target="https://www.avito.ru/" TargetMode="External" Id="rId47" /><Relationship Type="http://schemas.openxmlformats.org/officeDocument/2006/relationships/hyperlink" Target="https://www.detmir.ru/catalog/index/name/botinki_m/sezon_oio-zima/" TargetMode="External" Id="rId48" /><Relationship Type="http://schemas.openxmlformats.org/officeDocument/2006/relationships/hyperlink" Target="https://www.detmir.ru/catalog/index/name/botinki_m/sezon_oio-demisezon/" TargetMode="External" Id="rId49" /><Relationship Type="http://schemas.openxmlformats.org/officeDocument/2006/relationships/hyperlink" Target="https://www.detmir.ru/catalog/index/name/shoes_for_boys/brand/4112/" TargetMode="External" Id="rId50" /><Relationship Type="http://schemas.openxmlformats.org/officeDocument/2006/relationships/hyperlink" Target="https://www.detmir.ru/search/results/?qt=%D1%81%D0%BB%D0%B0%D0%BD%D1%86%D1%8B" TargetMode="External" Id="rId51" /><Relationship Type="http://schemas.openxmlformats.org/officeDocument/2006/relationships/hyperlink" Target="https://www.detmir.ru/search/results/?qt=%D1%82%D0%B0%D0%BF%D0%BE%D1%87%D0%BA%D0%B8" TargetMode="External" Id="rId52" /><Relationship Type="http://schemas.openxmlformats.org/officeDocument/2006/relationships/hyperlink" Target="https://www.detmir.ru/catalog/index/name/detskaya_odezhda/brand/4112/" TargetMode="External" Id="rId53" /><Relationship Type="http://schemas.openxmlformats.org/officeDocument/2006/relationships/hyperlink" Target="https://www.detmir.ru/search/results/?qt=%D0%B4%D0%BE%D0%BC%D0%B0%D1%88%D0%BD%D0%B8%D0%B9%20%D0%BA%D0%BE%D1%81%D1%82%D1%8E%D0%BC" TargetMode="External" Id="rId54" /><Relationship Type="http://schemas.openxmlformats.org/officeDocument/2006/relationships/hyperlink" Target="https://www.detmir.ru/search/results/?qt=%D1%81%D0%B2%D0%B8%D1%82%D0%B5%D1%80" TargetMode="External" Id="rId55" /><Relationship Type="http://schemas.openxmlformats.org/officeDocument/2006/relationships/hyperlink" Target="https://www.wildberries.ru/brands/playtoday" TargetMode="External" Id="rId56" /><Relationship Type="http://schemas.openxmlformats.org/officeDocument/2006/relationships/hyperlink" Target="https://www.wildberries.ru/brands/playtoday" TargetMode="External" Id="rId57" /><Relationship Type="http://schemas.openxmlformats.org/officeDocument/2006/relationships/hyperlink" Target="https://www.wildberries.ru/brands/playtoday" TargetMode="External" Id="rId58" /><Relationship Type="http://schemas.openxmlformats.org/officeDocument/2006/relationships/hyperlink" Target="https://www.detmir.ru/search/results/?qt=%D0%B2%D0%B8%D0%BB%D0%BA%D0%B0%20%D0%B4%D0%B5%D1%82%D1%81%D0%BA%D0%B0%D1%8F" TargetMode="External" Id="rId59" /><Relationship Type="http://schemas.openxmlformats.org/officeDocument/2006/relationships/hyperlink" Target="https://magnit.ru/catalog?q=%D0%B2%D0%BB%D0%B0%D0%B6%D0%BD%D1%8B%D0%B5%20%D1%81%D0%B0%D0%BB%D1%84%D0%B5%D1%82%D0%BA%D0%B8" TargetMode="External" Id="rId60" /><Relationship Type="http://schemas.openxmlformats.org/officeDocument/2006/relationships/hyperlink" Target="https://www.okeydostavka.ru/webapp/wcs/stores/servlet/SearchDisplay?searchTerm=R.O.C.S." TargetMode="External" Id="rId61" /><Relationship Type="http://schemas.openxmlformats.org/officeDocument/2006/relationships/hyperlink" Target="https://www.detmir.ru/search/results/?qt=%D0%B7%D1%83%D0%B1%D0%BD%D0%B0%D1%8F%20%D1%89%D0%B5%D1%82%D0%BA%D0%B0%20%D0%B4%D0%B5%D1%82%D1%81%D0%BA%D0%B0%D1%8F" TargetMode="External" Id="rId62" /><Relationship Type="http://schemas.openxmlformats.org/officeDocument/2006/relationships/hyperlink" Target="https://www.detmir.ru/search/results/?qt=%D0%BB%D0%BE%D0%B6%D0%BA%D0%B0%20%D0%B4%D0%B5%D1%82%D1%81%D0%BA%D0%B0%D1%8F" TargetMode="External" Id="rId63" /><Relationship Type="http://schemas.openxmlformats.org/officeDocument/2006/relationships/hyperlink" Target="https://www.detmir.ru/search/results/?qt=%D0%BB%D0%BE%D0%B6%D0%BA%D0%B0%20%D1%87%D0%B0%D0%B9%D0%BD%D0%B0%D1%8F%20%D0%B4%D0%B5%D1%82%D1%81%D0%BA%D0%B0%D1%8F" TargetMode="External" Id="rId64" /><Relationship Type="http://schemas.openxmlformats.org/officeDocument/2006/relationships/hyperlink" Target="https://magnit.ru/catalog?q=%D0%BC%D0%BE%D0%BB%D0%BE%D1%87%D0%BA%D0%BE%20%D0%B4%D0%BB%D1%8F%20%D1%82%D0%B5%D0%BB%D0%B0%20%D0%B4%D0%B5%D1%82%D1%81%D0%BA%D0%BE%D0%B5" TargetMode="External" Id="rId65" /><Relationship Type="http://schemas.openxmlformats.org/officeDocument/2006/relationships/hyperlink" Target="https://www.detmir.ru/search/results/?qt=%D0%BC%D0%BE%D1%87%D0%B0%D0%BB%D0%BA%D0%B0" TargetMode="External" Id="rId66" /><Relationship Type="http://schemas.openxmlformats.org/officeDocument/2006/relationships/hyperlink" Target="https://www.detmir.ru/search/results/?qt=%D0%BF%D0%BE%D0%BB%D0%BE%D1%82%D0%B5%D0%BD%D1%86%D0%B5%20%D0%B1%D0%B0%D0%BD%D0%BD%D0%BE%D0%B5" TargetMode="External" Id="rId67" /><Relationship Type="http://schemas.openxmlformats.org/officeDocument/2006/relationships/hyperlink" Target="https://www.detmir.ru/search/results/?qt=%D0%BF%D0%BE%D0%BB%D0%BE%D1%82%D0%B5%D0%BD%D1%86%D0%B5%20%D0%B4%D0%BB%D1%8F%20%D0%BB%D0%B8%D1%86%D0%B0" TargetMode="External" Id="rId68" /><Relationship Type="http://schemas.openxmlformats.org/officeDocument/2006/relationships/hyperlink" Target="https://www.detmir.ru/search/results/?qt=%D1%82%D0%B0%D1%80%D0%B5%D0%BB%D0%BA%D0%B0%20%D0%B4%D0%B5%D1%82%D1%81%D0%BA%D0%B0%D1%8F" TargetMode="External" Id="rId69" /><Relationship Type="http://schemas.openxmlformats.org/officeDocument/2006/relationships/hyperlink" Target="https://www.detmir.ru/search/results/?qt=%D1%82%D0%B0%D1%80%D0%B5%D0%BB%D0%BA%D0%B0%20%D0%B4%D0%B5%D1%82%D1%81%D0%BA%D0%B0%D1%8F" TargetMode="External" Id="rId70" /><Relationship Type="http://schemas.openxmlformats.org/officeDocument/2006/relationships/hyperlink" Target="https://magnit.ru/product/1000044580-tualetnaya_bumaga_soft_luxe_4_rulona" TargetMode="External" Id="rId71" /><Relationship Type="http://schemas.openxmlformats.org/officeDocument/2006/relationships/hyperlink" Target="https://www.detmir.ru/search/results/?qt=%D0%BA%D1%80%D1%83%D0%B6%D0%BA%D0%B0%20%D0%B4%D0%B5%D1%82%D1%81%D0%BA%D0%B0%D1%8F" TargetMode="External" Id="rId72" /><Relationship Type="http://schemas.openxmlformats.org/officeDocument/2006/relationships/hyperlink" Target="https://www.detmir.ru/search/results/?qt=%D1%88%D0%B0%D0%BC%D0%BF%D1%83%D0%BD%D1%8C%20%D0%B4%D0%B5%D1%82%D1%81%D0%BA%D0%B8%D0%B9" TargetMode="External" Id="rId73" /><Relationship Type="http://schemas.openxmlformats.org/officeDocument/2006/relationships/hyperlink" Target="https://www.detmir.ru/search/results/?qt=%D0%B1%D1%83%D1%82%D1%8B%D0%BB%D0%BA%D0%B0" TargetMode="External" Id="rId74" /><Relationship Type="http://schemas.openxmlformats.org/officeDocument/2006/relationships/hyperlink" Target="https://magnit.ru/" TargetMode="External" Id="rId75" /><Relationship Type="http://schemas.openxmlformats.org/officeDocument/2006/relationships/hyperlink" Target="https://www.detmir.ru/search/results/?qt=%D0%B1%D1%83%D1%81%D1%82%D0%B5%D1%80%20%D0%B0%D0%B2%D1%82%D0%BE%D0%BC%D0%BE%D0%B1%D0%B8%D0%BB%D1%8C%D0%BD%D1%8B%D0%B9" TargetMode="External" Id="rId76" /><Relationship Type="http://schemas.openxmlformats.org/officeDocument/2006/relationships/hyperlink" Target="https://market.yandex.ru/search?text=%D0%B2%D0%B5%D0%BB%D0%BE%D1%81%D0%B8%D0%BF%D0%B5%D0%B4%20Stern%2024" TargetMode="External" Id="rId77" /><Relationship Type="http://schemas.openxmlformats.org/officeDocument/2006/relationships/hyperlink" Target="https://www.detmir.ru/search/results/?qt=%D0%B3%D0%B0%D0%BD%D1%82%D0%B5%D0%BB%D0%B8%20%D0%B4%D0%B5%D1%82%D1%81%D0%BA%D0%B8%D0%B5" TargetMode="External" Id="rId78" /><Relationship Type="http://schemas.openxmlformats.org/officeDocument/2006/relationships/hyperlink" Target="https://www.detmir.ru/search/results/?qt=%D0%BA%D0%BE%D0%BD%D1%8C%D0%BA%D0%B8" TargetMode="External" Id="rId79" /><Relationship Type="http://schemas.openxmlformats.org/officeDocument/2006/relationships/hyperlink" Target="https://www.detmir.ru/search/results/?qt=%D0%BC%D1%8F%D1%87%20%D1%84%D1%83%D1%82%D0%B1%D0%BE%D0%BB%D1%8C%D0%BD%D1%8B%D0%B9" TargetMode="External" Id="rId80" /><Relationship Type="http://schemas.openxmlformats.org/officeDocument/2006/relationships/hyperlink" Target="https://www.detmir.ru/search/results/?qt=%D0%BD%D0%B0%D0%B4%D1%83%D0%B2%D0%BD%D0%BE%D0%B9%20%D0%BA%D1%80%D1%83%D0%B3" TargetMode="External" Id="rId81" /><Relationship Type="http://schemas.openxmlformats.org/officeDocument/2006/relationships/hyperlink" Target="https://www.detmir.ru/search/results/?qt=%D1%81%D0%BA%D0%B0%D0%BA%D0%B0%D0%BB%D0%BA%D0%B0" TargetMode="External" Id="rId82" /><Relationship Type="http://schemas.openxmlformats.org/officeDocument/2006/relationships/hyperlink" Target="https://leroymerlin.ru/search/?q=%D1%81%D1%82%D1%83%D0%BB%20%D0%BA%D0%B5%D0%BC%D0%BF%D0%B8%D0%BD%D0%B3" TargetMode="External" Id="rId83" /><Relationship Type="http://schemas.openxmlformats.org/officeDocument/2006/relationships/hyperlink" Target="https://www.wildberries.ru/catalog/13454614/detail.aspx" TargetMode="External" Id="rId84" /><Relationship Type="http://schemas.openxmlformats.org/officeDocument/2006/relationships/hyperlink" Target="https://www.detmir.ru/product/index/id/7065088/" TargetMode="External" Id="rId85" /><Relationship Type="http://schemas.openxmlformats.org/officeDocument/2006/relationships/hyperlink" Target="https://www.detmir.ru/product/index/id/7065103/" TargetMode="External" Id="rId86" /><Relationship Type="http://schemas.openxmlformats.org/officeDocument/2006/relationships/hyperlink" Target="https://www.detmir.ru/product/index/id/6643629/" TargetMode="External" Id="rId87" /><Relationship Type="http://schemas.openxmlformats.org/officeDocument/2006/relationships/hyperlink" Target="https://orby.ru/c/shkolnaya-forma-dlya-malchikov/" TargetMode="External" Id="rId88" /><Relationship Type="http://schemas.openxmlformats.org/officeDocument/2006/relationships/hyperlink" Target="https://www.sportmaster.ru/catalog/deti/obuv/krossovki_kedy/" TargetMode="External" Id="rId89" /><Relationship Type="http://schemas.openxmlformats.org/officeDocument/2006/relationships/hyperlink" Target="https://www.detmir.ru/product/index/id/7077779/" TargetMode="External" Id="rId90" /><Relationship Type="http://schemas.openxmlformats.org/officeDocument/2006/relationships/hyperlink" Target="https://www.detmir.ru/product/index/id/7076432/" TargetMode="External" Id="rId91" /><Relationship Type="http://schemas.openxmlformats.org/officeDocument/2006/relationships/hyperlink" Target="https://www.detmir.ru/catalog/index/name/neckties/" TargetMode="External" Id="rId92" /><Relationship Type="http://schemas.openxmlformats.org/officeDocument/2006/relationships/hyperlink" Target="https://www.detmir.ru/catalog/index/name/straps/pol-malchik/" TargetMode="External" Id="rId93" /><Relationship Type="http://schemas.openxmlformats.org/officeDocument/2006/relationships/hyperlink" Target="https://www.detmir.ru/product/index/id/7069266/" TargetMode="External" Id="rId94" /><Relationship Type="http://schemas.openxmlformats.org/officeDocument/2006/relationships/hyperlink" Target="https://www.detmir.ru/product/index/id/6391235/" TargetMode="External" Id="rId95" /><Relationship Type="http://schemas.openxmlformats.org/officeDocument/2006/relationships/hyperlink" Target="https://www.detmir.ru/product/index/id/6622893/" TargetMode="External" Id="rId96" /><Relationship Type="http://schemas.openxmlformats.org/officeDocument/2006/relationships/hyperlink" Target="https://www.detmir.ru/product/index/id/6037286/" TargetMode="External" Id="rId97" /><Relationship Type="http://schemas.openxmlformats.org/officeDocument/2006/relationships/hyperlink" Target="https://www.detmir.ru/search/results/?qt=%D0%B0%D0%BB%D1%8C%D0%B1%D0%BE%D0%BC" TargetMode="External" Id="rId98" /><Relationship Type="http://schemas.openxmlformats.org/officeDocument/2006/relationships/hyperlink" Target="https://www.detmir.ru/catalog/index/name/cyrkuli/tip_cherchenie-gotovalnya/" TargetMode="External" Id="rId99" /><Relationship Type="http://schemas.openxmlformats.org/officeDocument/2006/relationships/hyperlink" Target="https://www.detmir.ru/product/index/id/6430833/" TargetMode="External" Id="rId100" /><Relationship Type="http://schemas.openxmlformats.org/officeDocument/2006/relationships/hyperlink" Target="https://www.detmir.ru/product/index/id/6462321/" TargetMode="External" Id="rId101" /><Relationship Type="http://schemas.openxmlformats.org/officeDocument/2006/relationships/hyperlink" Target="https://www.detmir.ru/search/results/?qt=%D0%B4%D0%BE%D1%81%D0%BA%D0%B0%20%D0%B4%D0%BB%D1%8F%20%D0%BB%D0%B5%D0%BF%D0%BA%D0%B8" TargetMode="External" Id="rId102" /><Relationship Type="http://schemas.openxmlformats.org/officeDocument/2006/relationships/hyperlink" Target="https://www.detmir.ru/search/results/?qt=%D0%B7%D0%B0%D0%BA%D0%BB%D0%B0%D0%B4%D0%BA%D0%B8%20%D0%B4%D0%BB%D1%8F%20%D0%BA%D0%BD%D0%B8%D0%B3" TargetMode="External" Id="rId103" /><Relationship Type="http://schemas.openxmlformats.org/officeDocument/2006/relationships/hyperlink" Target="https://www.detmir.ru/search/results/?qt=%D0%BA%D0%B0%D1%80%D0%B0%D0%BD%D0%B4%D0%B0%D1%88%20HB" TargetMode="External" Id="rId104" /><Relationship Type="http://schemas.openxmlformats.org/officeDocument/2006/relationships/hyperlink" Target="https://www.detmir.ru/product/index/id/6016009/" TargetMode="External" Id="rId105" /><Relationship Type="http://schemas.openxmlformats.org/officeDocument/2006/relationships/hyperlink" Target="https://www.detmir.ru/search/results/?qt=%D0%BA%D0%B0%D1%80%D1%82%D0%BE%D0%BD%20%D1%86%D0%B2%D0%B5%D1%82%D0%BD%D0%BE%D0%B9" TargetMode="External" Id="rId106" /><Relationship Type="http://schemas.openxmlformats.org/officeDocument/2006/relationships/hyperlink" Target="https://www.detmir.ru/search/results/?qt=%D0%BA%D0%BB%D0%B5%D0%B9%20%D0%9F%D0%92%D0%90" TargetMode="External" Id="rId107" /><Relationship Type="http://schemas.openxmlformats.org/officeDocument/2006/relationships/hyperlink" Target="https://www.detmir.ru/search/results/?qt=%D0%BA%D0%BB%D0%B5%D0%B9-%D0%BA%D0%B0%D1%80%D0%B0%D0%BD%D0%B4%D0%B0%D1%88" TargetMode="External" Id="rId108" /><Relationship Type="http://schemas.openxmlformats.org/officeDocument/2006/relationships/hyperlink" Target="https://www.detmir.ru/search/results/?qt=%D0%BA%D0%BE%D1%80%D1%80%D0%B5%D0%BA%D1%82%D0%BE%D1%80%20%D1%88%D0%BA%D0%BE%D0%BB%D1%8C%D0%BD%D1%8B%D0%B9" TargetMode="External" Id="rId109" /><Relationship Type="http://schemas.openxmlformats.org/officeDocument/2006/relationships/hyperlink" Target="https://www.detmir.ru/search/results/?qt=%D0%BB%D0%B0%D1%81%D1%82%D0%B8%D0%BA" TargetMode="External" Id="rId110" /><Relationship Type="http://schemas.openxmlformats.org/officeDocument/2006/relationships/hyperlink" Target="https://www.detmir.ru/search/results/?qt=%D0%BB%D0%B8%D0%BD%D0%B5%D0%B9%D0%BA%D0%B0%2020" TargetMode="External" Id="rId111" /><Relationship Type="http://schemas.openxmlformats.org/officeDocument/2006/relationships/hyperlink" Target="https://www.detmir.ru/search/results/?qt=%D0%BA%D0%B8%D1%81%D1%82%D0%B8" TargetMode="External" Id="rId112" /><Relationship Type="http://schemas.openxmlformats.org/officeDocument/2006/relationships/hyperlink" Target="https://www.detmir.ru/product/index/id/6724733/" TargetMode="External" Id="rId113" /><Relationship Type="http://schemas.openxmlformats.org/officeDocument/2006/relationships/hyperlink" Target="https://www.detmir.ru/search/results/?qt=%D0%BD%D0%B5%D0%BF%D1%80%D0%BE%D0%BB%D0%B8%D0%B2%D0%B0%D0%B9%D0%BA%D0%B0" TargetMode="External" Id="rId114" /><Relationship Type="http://schemas.openxmlformats.org/officeDocument/2006/relationships/hyperlink" Target="https://www.detmir.ru/search/results/?qt=%D0%BD%D0%BE%D0%B6%D0%BD%D0%B8%D1%86%D1%8B%20%D0%B4%D0%B5%D1%82%D1%81%D0%BA%D0%B8%D0%B5" TargetMode="External" Id="rId115" /><Relationship Type="http://schemas.openxmlformats.org/officeDocument/2006/relationships/hyperlink" Target="https://www.detmir.ru/product/index/id/6442038/" TargetMode="External" Id="rId116" /><Relationship Type="http://schemas.openxmlformats.org/officeDocument/2006/relationships/hyperlink" Target="https://www.detmir.ru/catalog/index/name/cover_notebook/" TargetMode="External" Id="rId117" /><Relationship Type="http://schemas.openxmlformats.org/officeDocument/2006/relationships/hyperlink" Target="https://www.detmir.ru/search/results/?qt=%D0%BF%D0%B0%D0%BF%D0%BA%D0%B0%20%D0%B4%D0%BB%D1%8F%20%D1%82%D0%B5%D1%82%D1%80%D0%B0%D0%B4%D0%B5%D0%B9" TargetMode="External" Id="rId118" /><Relationship Type="http://schemas.openxmlformats.org/officeDocument/2006/relationships/hyperlink" Target="https://www.detmir.ru/search/results/?qt=%D0%BF%D0%B0%D0%BF%D0%BA%D0%B0%20%D0%B4%D0%BB%D1%8F%20%D1%82%D1%80%D1%83%D0%B4%D0%B0" TargetMode="External" Id="rId119" /><Relationship Type="http://schemas.openxmlformats.org/officeDocument/2006/relationships/hyperlink" Target="https://www.detmir.ru/product/index/id/6400444/" TargetMode="External" Id="rId120" /><Relationship Type="http://schemas.openxmlformats.org/officeDocument/2006/relationships/hyperlink" Target="https://www.detmir.ru/search/results/?qt=%D0%BF%D0%BB%D0%B0%D1%81%D1%82%D0%B8%D0%BB%D0%B8%D0%BD" TargetMode="External" Id="rId121" /><Relationship Type="http://schemas.openxmlformats.org/officeDocument/2006/relationships/hyperlink" Target="https://www.detmir.ru/product/index/id/6505850/" TargetMode="External" Id="rId122" /><Relationship Type="http://schemas.openxmlformats.org/officeDocument/2006/relationships/hyperlink" Target="https://www.detmir.ru/search/results/?qt=%D1%82%D0%B5%D1%82%D1%80%D0%B0%D0%B4%D1%8C%2018%20%D0%BB%D0%B8%D1%81%D1%82%D0%BE%D0%B2%20%D1%82%D0%B2%D0%B5%D1%80%D0%B4%D0%B0%D1%8F%20%D0%BE%D0%B1%D0%BB%D0%BE%D0%B6%D0%BA%D0%B0%20%D0%BA%D0%BB%D0%B5%D1%82%D0%BA%D0%B0" TargetMode="External" Id="rId123" /><Relationship Type="http://schemas.openxmlformats.org/officeDocument/2006/relationships/hyperlink" Target="https://www.detmir.ru/product/index/id/6683471/" TargetMode="External" Id="rId124" /><Relationship Type="http://schemas.openxmlformats.org/officeDocument/2006/relationships/hyperlink" Target="https://www.detmir.ru/search/results/?qt=%D1%82%D0%BE%D1%87%D0%B8%D0%BB%D0%BA%D0%B0" TargetMode="External" Id="rId125" /><Relationship Type="http://schemas.openxmlformats.org/officeDocument/2006/relationships/hyperlink" Target="https://www.detmir.ru/search/results/?qt=%D1%83%D1%87%D0%B5%D0%B1%D0%BD%D1%8B%D0%B5%20%D0%BF%D0%BE%D1%81%D0%BE%D0%B1%D0%B8%D1%8F" TargetMode="External" Id="rId126" /><Relationship Type="http://schemas.openxmlformats.org/officeDocument/2006/relationships/hyperlink" Target="https://www.detmir.ru/product/index/id/3293711/" TargetMode="External" Id="rId127" /><Relationship Type="http://schemas.openxmlformats.org/officeDocument/2006/relationships/hyperlink" Target="https://www.detmir.ru/search/results/?qt=%D1%86%D0%B2%D0%B5%D1%82%D0%BD%D0%B0%D1%8F%20%D0%B1%D1%83%D0%BC%D0%B0%D0%B3%D0%B0" TargetMode="External" Id="rId128" /><Relationship Type="http://schemas.openxmlformats.org/officeDocument/2006/relationships/hyperlink" Target="https://www.detmir.ru/search/results/?qt=%D0%B1%D1%83%D0%BA%D0%B5%D1%82" TargetMode="External" Id="rId129" /><Relationship Type="http://schemas.openxmlformats.org/officeDocument/2006/relationships/hyperlink" Target="https://rocky-shop.ru/ekipirovka-dlya-edinoborstv/kurtka-dlya-sambo-green-hill-junior-rostovki-160-190-sm-10032.html" TargetMode="External" Id="rId130" /><Relationship Type="http://schemas.openxmlformats.org/officeDocument/2006/relationships/hyperlink" Target="https://karate.ru/shop/catalog/407-perchatki-mma-sinie-kozhzamenitel-combat-sambo-green-hill/" TargetMode="External" Id="rId131" /><Relationship Type="http://schemas.openxmlformats.org/officeDocument/2006/relationships/hyperlink" Target="https://www.detmir.ru/search/results/?qt=%D0%BB%D0%B0%D1%81%D1%82%D1%8B%20%D0%B4%D0%B5%D1%82%D1%81%D0%BA%D0%B8%D0%B5" TargetMode="External" Id="rId132" /><Relationship Type="http://schemas.openxmlformats.org/officeDocument/2006/relationships/hyperlink" Target="https://dantesport.ru/product_info.php?products_id=1207" TargetMode="External" Id="rId133" /><Relationship Type="http://schemas.openxmlformats.org/officeDocument/2006/relationships/hyperlink" Target="https://www.detmir.ru/catalog/index/name/plavki/" TargetMode="External" Id="rId134" /><Relationship Type="http://schemas.openxmlformats.org/officeDocument/2006/relationships/hyperlink" Target="https://www.detmir.ru/search/results/?qt=%D0%BF%D0%BE%D0%BB%D0%BE%D1%82%D0%B5%D0%BD%D1%86%D0%B5%20%D0%BF%D0%BB%D0%B0%D0%B2%D0%B0%D0%BD%D0%B8%D0%B5" TargetMode="External" Id="rId135" /><Relationship Type="http://schemas.openxmlformats.org/officeDocument/2006/relationships/hyperlink" Target="https://rocky-shop.ru/ekipirovka-dlya-edinoborstv/detskie-bortscovki-dlya-sambo-green-hill-triumf-odobreny-fias-27458.html" TargetMode="External" Id="rId136" /><Relationship Type="http://schemas.openxmlformats.org/officeDocument/2006/relationships/hyperlink" Target="https://www.detmir.ru/search/results/?qt=%D1%81%D0%BF%D0%BE%D1%80%D1%82%D0%B8%D0%B2%D0%BD%D0%B0%D1%8F%20%D1%81%D1%83%D0%BC%D0%BA%D0%B0" TargetMode="External" Id="rId137" /><Relationship Type="http://schemas.openxmlformats.org/officeDocument/2006/relationships/hyperlink" Target="https://www.eapteka.ru/goods/id215357/" TargetMode="External" Id="rId138" /><Relationship Type="http://schemas.openxmlformats.org/officeDocument/2006/relationships/hyperlink" Target="https://www.eapteka.ru/search/?q=%D0%B9%D0%BE%D0%B4" TargetMode="External" Id="rId139" /><Relationship Type="http://schemas.openxmlformats.org/officeDocument/2006/relationships/hyperlink" Target="https://apteka.magnit.ru/product/7000001484-makmiror_tabletki_200mg_20sht" TargetMode="External" Id="rId140" /><Relationship Type="http://schemas.openxmlformats.org/officeDocument/2006/relationships/hyperlink" Target="https://www.eapteka.ru/search/?q=%D0%BD%D0%B0%D0%B7%D0%B8%D0%B2%D0%B8%D0%BD" TargetMode="External" Id="rId141" /><Relationship Type="http://schemas.openxmlformats.org/officeDocument/2006/relationships/hyperlink" Target="https://www.eapteka.ru/search/?q=%D0%BF%D0%B5%D1%80%D0%B5%D0%BA%D0%B8%D1%81%D1%8C%20%D0%B2%D0%BE%D0%B4%D0%BE%D1%80%D0%BE%D0%B4%D0%B0" TargetMode="External" Id="rId142" /><Relationship Type="http://schemas.openxmlformats.org/officeDocument/2006/relationships/hyperlink" Target="https://www.eapteka.ru/search/?q=%D0%BF%D0%B8%D1%80%D0%B0%D0%BD%D1%82%D0%B5%D0%BB%20%D1%81%D1%83%D1%81%D0%BF%D0%B5%D0%BD%D0%B7%D0%B8%D1%8F" TargetMode="External" Id="rId143" /><Relationship Type="http://schemas.openxmlformats.org/officeDocument/2006/relationships/hyperlink" Target="https://www.eapteka.ru/search/?q=%D0%BF%D0%BB%D0%B0%D1%81%D1%82%D1%8B%D1%80%D1%8C" TargetMode="External" Id="rId144" /><Relationship Type="http://schemas.openxmlformats.org/officeDocument/2006/relationships/hyperlink" Target="https://www.eapteka.ru/search/?q=%D1%83%D1%88%D0%BD%D1%8B%D0%B5%20%D0%BA%D0%B0%D0%BF%D0%BB%D0%B8" TargetMode="External" Id="rId145" /><Relationship Type="http://schemas.openxmlformats.org/officeDocument/2006/relationships/hyperlink" Target="https://magnit.ru/catalog?q=ariel%20color%206" TargetMode="External" Id="rId146" /><Relationship Type="http://schemas.openxmlformats.org/officeDocument/2006/relationships/hyperlink" Target="https://magnit.ru/catalog?q=lenor" TargetMode="External" Id="rId147" /><Relationship Type="http://schemas.openxmlformats.org/officeDocument/2006/relationships/hyperlink" Target="https://magnit.ru/catalog?q=%D0%B2%D0%B0%D1%82%D0%BD%D1%8B%D0%B5%20%D0%B4%D0%B8%D1%81%D0%BA%D0%B8" TargetMode="External" Id="rId148" /><Relationship Type="http://schemas.openxmlformats.org/officeDocument/2006/relationships/hyperlink" Target="https://magnit.ru/catalog?q=%D0%B2%D0%B0%D1%82%D0%BD%D1%8B%D0%B5%20%D0%BF%D0%B0%D0%BB%D0%BE%D1%87%D0%BA%D0%B8" TargetMode="External" Id="rId149" /><Relationship Type="http://schemas.openxmlformats.org/officeDocument/2006/relationships/hyperlink" Target="https://magnit.ru/catalog?q=%D0%BC%D1%8B%D0%BB%D0%BE%20%D1%82%D1%83%D0%B0%D0%BB%D0%B5%D1%82%D0%BD%D0%BE%D0%B5" TargetMode="External" Id="rId150" /><Relationship Type="http://schemas.openxmlformats.org/officeDocument/2006/relationships/hyperlink" Target="https://leroymerlin.ru/search/?q=%D0%B3%D1%80%D0%B0%D1%84%D0%B8%D0%BD%20%D0%B4%D0%BB%D1%8F%20%D0%B2%D0%BE%D0%B4%D1%8B" TargetMode="External" Id="rId151" /><Relationship Type="http://schemas.openxmlformats.org/officeDocument/2006/relationships/hyperlink" Target="https://barrier.ru/" TargetMode="External" Id="rId152" /><Relationship Type="http://schemas.openxmlformats.org/officeDocument/2006/relationships/hyperlink" Target="https://leroymerlin.ru/search/?q=%D0%BA%D0%BE%D0%BD%D1%82%D0%B5%D0%B9%D0%BD%D0%B5%D1%80%20%D0%B4%D0%BB%D1%8F%20%D0%BA%D1%80%D1%83%D0%BF" TargetMode="External" Id="rId153" /><Relationship Type="http://schemas.openxmlformats.org/officeDocument/2006/relationships/hyperlink" Target="https://www.dns-shop.ru/search/?q=%D0%BD%D0%B0%D0%B1%D0%BE%D1%80%20%D0%BA%D0%B0%D1%81%D1%82%D1%80%D1%8E%D0%BB%D1%8C%20%D0%BD%D0%B5%D1%80%D0%B6%D0%B0%D0%B2%D0%B5%D1%8E%D1%89%D0%B0%D1%8F" TargetMode="External" Id="rId154" /><Relationship Type="http://schemas.openxmlformats.org/officeDocument/2006/relationships/hyperlink" Target="https://www.dns-shop.ru/search/?q=%D0%BD%D0%B0%D0%B1%D0%BE%D1%80%20%D0%BA%D0%B0%D1%81%D1%82%D1%80%D1%8E%D0%BB%D1%8C" TargetMode="External" Id="rId155" /><Relationship Type="http://schemas.openxmlformats.org/officeDocument/2006/relationships/hyperlink" Target="https://leroymerlin.ru/search/?q=%D0%BD%D0%BE%D0%B6%20%D1%81%D1%82%D0%BE%D0%BB%D0%BE%D0%B2%D1%8B%D0%B9" TargetMode="External" Id="rId156" /><Relationship Type="http://schemas.openxmlformats.org/officeDocument/2006/relationships/hyperlink" Target="https://leroymerlin.ru/search/?q=%D0%B4%D0%BE%D1%81%D0%BA%D0%B0%20%D1%80%D0%B0%D0%B7%D0%B4%D0%B5%D0%BB%D0%BE%D1%87%D0%BD%D0%B0%D1%8F" TargetMode="External" Id="rId157" /><Relationship Type="http://schemas.openxmlformats.org/officeDocument/2006/relationships/hyperlink" Target="https://leroymerlin.ru/search/?q=%D1%81%D0%B0%D0%BB%D0%B0%D1%82%D0%BD%D0%B8%D0%BA" TargetMode="External" Id="rId158" /><Relationship Type="http://schemas.openxmlformats.org/officeDocument/2006/relationships/hyperlink" Target="https://www.dns-shop.ru/search/?q=%D1%81%D0%BA%D0%BE%D0%B2%D0%BE%D1%80%D0%BE%D0%B4%D0%B0" TargetMode="External" Id="rId159" /><Relationship Type="http://schemas.openxmlformats.org/officeDocument/2006/relationships/hyperlink" Target="https://leroymerlin.ru/search/?q=%D0%BB%D0%BE%D0%B6%D0%BA%D0%B0%20%D1%81%D1%82%D0%BE%D0%BB%D0%BE%D0%B2%D0%B0%D1%8F" TargetMode="External" Id="rId160" /><Relationship Type="http://schemas.openxmlformats.org/officeDocument/2006/relationships/hyperlink" Target="https://leroymerlin.ru/search/?q=%D1%82%D0%B0%D1%80%D0%B5%D0%BB%D0%BA%D0%B0%20%D0%B3%D0%BB%D1%83%D0%B1%D0%BE%D0%BA%D0%B0%D1%8F" TargetMode="External" Id="rId161" /><Relationship Type="http://schemas.openxmlformats.org/officeDocument/2006/relationships/hyperlink" Target="https://leroymerlin.ru/search/?q=%D1%82%D0%B0%D1%80%D0%B5%D0%BB%D0%BA%D0%B0%20%D0%BC%D0%B5%D0%BB%D0%BA%D0%B0%D1%8F" TargetMode="External" Id="rId162" /><Relationship Type="http://schemas.openxmlformats.org/officeDocument/2006/relationships/hyperlink" Target="https://leroymerlin.ru/search/?q=%D1%82%D0%B5%D1%80%D0%BA%D0%B0" TargetMode="External" Id="rId163" /><Relationship Type="http://schemas.openxmlformats.org/officeDocument/2006/relationships/hyperlink" Target="https://leroymerlin.ru/search/?q=%D0%BB%D0%BE%D0%B6%D0%BA%D0%B0%20%D1%87%D0%B0%D0%B9%D0%BD%D0%B0%D1%8F" TargetMode="External" Id="rId164" /><Relationship Type="http://schemas.openxmlformats.org/officeDocument/2006/relationships/hyperlink" Target="https://www.dns-shop.ru/search/?q=%D1%87%D0%B0%D0%B9%D0%BD%D0%B8%D0%BA%20tefal" TargetMode="External" Id="rId165" /><Relationship Type="http://schemas.openxmlformats.org/officeDocument/2006/relationships/hyperlink" Target="https://leroymerlin.ru/search/?q=%D1%87%D0%B0%D1%88%D0%BA%D0%B0" TargetMode="External" Id="rId166" /><Relationship Type="http://schemas.openxmlformats.org/officeDocument/2006/relationships/hyperlink" Target="https://www.dns-shop.ru/search/?q=%D0%BA%D0%BE%D0%BB%D0%BE%D0%BD%D0%BA%D0%B0%20sony" TargetMode="External" Id="rId167" /><Relationship Type="http://schemas.openxmlformats.org/officeDocument/2006/relationships/hyperlink" Target="https://www.dns-shop.ru/search/?q=%D0%BC%D0%B8%D0%BA%D1%80%D0%BE%D0%B2%D0%BE%D0%BB%D0%BD%D0%BE%D0%B2%D0%BA%D0%B0" TargetMode="External" Id="rId168" /><Relationship Type="http://schemas.openxmlformats.org/officeDocument/2006/relationships/hyperlink" Target="https://www.dns-shop.ru/search/?q=%D0%BC%D1%83%D0%BB%D1%8C%D1%82%D0%B8%D0%B2%D0%B0%D1%80%D0%BA%D0%B0" TargetMode="External" Id="rId169" /><Relationship Type="http://schemas.openxmlformats.org/officeDocument/2006/relationships/hyperlink" Target="https://www.dns-shop.ru/search/?q=%D0%BC%D1%8F%D1%81%D0%BE%D1%80%D1%83%D0%B1%D0%BA%D0%B0" TargetMode="External" Id="rId170" /><Relationship Type="http://schemas.openxmlformats.org/officeDocument/2006/relationships/hyperlink" Target="https://www.dns-shop.ru/search/?q=%D0%BF%D0%B0%D1%80%D0%BE%D0%B2%D0%B0%D1%80%D0%BA%D0%B0" TargetMode="External" Id="rId171" /><Relationship Type="http://schemas.openxmlformats.org/officeDocument/2006/relationships/hyperlink" Target="https://www.dns-shop.ru/search/?q=%D0%BF%D0%BB%D0%B8%D1%82%D0%B0%20%D0%B3%D0%B0%D0%B7%D0%BE%D0%B2%D0%B0%D1%8F" TargetMode="External" Id="rId172" /><Relationship Type="http://schemas.openxmlformats.org/officeDocument/2006/relationships/hyperlink" Target="https://www.dns-shop.ru/search/?q=%D1%81%D0%BE%D0%BA%D0%BE%D0%B2%D1%8B%D0%B6%D0%B8%D0%BC%D0%B0%D0%BB%D0%BA%D0%B0" TargetMode="External" Id="rId173" /><Relationship Type="http://schemas.openxmlformats.org/officeDocument/2006/relationships/hyperlink" Target="https://www.dns-shop.ru/search/?q=%D1%81%D1%82%D0%B8%D1%80%D0%B0%D0%BB%D1%8C%D0%BD%D0%B0%D1%8F%20%D0%BC%D0%B0%D1%88%D0%B8%D0%BD%D0%B0%20Bosch" TargetMode="External" Id="rId174" /><Relationship Type="http://schemas.openxmlformats.org/officeDocument/2006/relationships/hyperlink" Target="https://www.dns-shop.ru/search/?q=%D1%82%D0%B5%D0%BB%D0%B5%D0%B2%D0%B8%D0%B7%D0%BE%D1%80" TargetMode="External" Id="rId175" /><Relationship Type="http://schemas.openxmlformats.org/officeDocument/2006/relationships/hyperlink" Target="https://www.dns-shop.ru/search/?q=%D1%82%D0%BE%D1%81%D1%82%D0%B5%D1%80" TargetMode="External" Id="rId176" /><Relationship Type="http://schemas.openxmlformats.org/officeDocument/2006/relationships/hyperlink" Target="https://barrier.ru/" TargetMode="External" Id="rId177" /><Relationship Type="http://schemas.openxmlformats.org/officeDocument/2006/relationships/hyperlink" Target="https://www.dns-shop.ru/search/?q=%D1%85%D0%BE%D0%BB%D0%BE%D0%B4%D0%B8%D0%BB%D1%8C%D0%BD%D0%B8%D0%BA" TargetMode="External" Id="rId178" /><Relationship Type="http://schemas.openxmlformats.org/officeDocument/2006/relationships/hyperlink" Target="https://www.dns-shop.ru/search/?q=%D1%87%D0%B0%D0%B9%D0%BD%D0%B8%D0%BA" TargetMode="External" Id="rId179" /><Relationship Type="http://schemas.openxmlformats.org/officeDocument/2006/relationships/hyperlink" Target="https://leroymerlin.ru/search/?q=%D0%B3%D0%BB%D0%B0%D0%B4%D0%B8%D0%BB%D1%8C%D0%BD%D0%B0%D1%8F%20%D0%B4%D0%BE%D1%81%D0%BA%D0%B0" TargetMode="External" Id="rId180" /><Relationship Type="http://schemas.openxmlformats.org/officeDocument/2006/relationships/hyperlink" Target="https://lemanapro.ru/catalogue/kuhni/" TargetMode="External" Id="rId181" /><Relationship Type="http://schemas.openxmlformats.org/officeDocument/2006/relationships/hyperlink" Target="https://leroymerlin.ru/search/?q=%D0%BC%D1%83%D1%81%D0%BE%D1%80%D0%BD%D0%BE%D0%B5%20%D0%B2%D0%B5%D0%B4%D1%80%D0%BE" TargetMode="External" Id="rId182" /><Relationship Type="http://schemas.openxmlformats.org/officeDocument/2006/relationships/hyperlink" Target="https://www.dns-shop.ru/search/?q=%D0%BE%D1%82%D0%BF%D0%B0%D1%80%D0%B8%D0%B2%D0%B0%D1%82%D0%B5%D0%BB%D1%8C" TargetMode="External" Id="rId183" /><Relationship Type="http://schemas.openxmlformats.org/officeDocument/2006/relationships/hyperlink" Target="https://leroymerlin.ru/search/?q=%D0%BF%D0%BE%D0%BB%D0%BE%D1%82%D0%B5%D0%BD%D1%86%D0%B5" TargetMode="External" Id="rId184" /><Relationship Type="http://schemas.openxmlformats.org/officeDocument/2006/relationships/hyperlink" Target="https://www.dns-shop.ru/search/?q=%D0%BF%D1%8B%D0%BB%D0%B5%D1%81%D0%BE%D1%81" TargetMode="External" Id="rId185" /><Relationship Type="http://schemas.openxmlformats.org/officeDocument/2006/relationships/hyperlink" Target="https://leroymerlin.ru/search/?q=%D1%81%D0%BE%D0%B2%D0%BE%D0%BA%20%D0%BC%D0%B5%D1%82%D0%BB%D0%B0" TargetMode="External" Id="rId186" /><Relationship Type="http://schemas.openxmlformats.org/officeDocument/2006/relationships/hyperlink" Target="https://leroymerlin.ru/search/?q=%D1%81%D1%82%D0%BE%D0%BB%20%D0%B6%D1%83%D1%80%D0%BD%D0%B0%D0%BB%D1%8C%D0%BD%D1%8B%D0%B9" TargetMode="External" Id="rId187" /><Relationship Type="http://schemas.openxmlformats.org/officeDocument/2006/relationships/hyperlink" Target="https://leroymerlin.ru/search/?q=%D1%82%D1%83%D0%BC%D0%B1%D0%B0%20%D0%BF%D0%BE%D0%B4%20%D1%82%D0%B5%D0%BB%D0%B5%D0%B2%D0%B8%D0%B7%D0%BE%D1%80" TargetMode="External" Id="rId188" /><Relationship Type="http://schemas.openxmlformats.org/officeDocument/2006/relationships/hyperlink" Target="https://www.dns-shop.ru/search/?q=%D1%83%D1%82%D1%8E%D0%B3" TargetMode="External" Id="rId189" /><Relationship Type="http://schemas.openxmlformats.org/officeDocument/2006/relationships/hyperlink" Target="https://leroymerlin.ru/search/?q=%D1%88%D0%BA%D0%B0%D1%84%20%D1%83%D0%B3%D0%BB%D0%BE%D0%B2%D0%BE%D0%B9" TargetMode="External" Id="rId190" /><Relationship Type="http://schemas.openxmlformats.org/officeDocument/2006/relationships/hyperlink" Target="https://leroymerlin.ru/search/?q=%D0%B5%D0%BB%D0%BA%D0%B0%20%D0%B8%D1%81%D0%BA%D1%83%D1%81%D1%81%D1%82%D0%B2%D0%B5%D0%BD%D0%BD%D0%B0%D1%8F" TargetMode="External" Id="rId191" /><Relationship Type="http://schemas.openxmlformats.org/officeDocument/2006/relationships/hyperlink" Target="https://leroymerlin.ru/search/?q=%D1%83%D0%BA%D1%80%D0%B0%D1%88%D0%B5%D0%BD%D0%B8%D1%8F%20%D0%BD%D0%B0%20%D0%B5%D0%BB%D0%BA%D1%83" TargetMode="External" Id="rId192" /></Relationships>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B27"/>
  <sheetViews>
    <sheetView showGridLines="0" workbookViewId="0">
      <pane ySplit="3" topLeftCell="A4" activePane="bottomLeft" state="frozen"/>
      <selection pane="bottomLeft" activeCell="A1" sqref="A1"/>
    </sheetView>
  </sheetViews>
  <sheetFormatPr baseColWidth="8" defaultRowHeight="15"/>
  <cols>
    <col width="42" customWidth="1" min="1" max="1"/>
    <col width="92" customWidth="1" min="2" max="2"/>
  </cols>
  <sheetData>
    <row r="1" ht="22" customHeight="1">
      <c r="A1" s="1" t="inlineStr">
        <is>
          <t>СЧЁТИКС · калькулятор содержания ребёнка</t>
        </is>
      </c>
    </row>
    <row r="2" ht="32" customHeight="1">
      <c r="A2" s="2" t="inlineStr">
        <is>
          <t>Сколько стоит содержать одного ребёнка в семье. Обновлено 13 августа 2026.</t>
        </is>
      </c>
    </row>
    <row r="4" ht="22" customHeight="1">
      <c r="A4" s="3" t="inlineStr">
        <is>
          <t>ИЗ ЧЕГО СОСТОИТ ПРОДУКТ — три файла</t>
        </is>
      </c>
      <c r="B4" s="4" t="n"/>
    </row>
    <row r="5" ht="26" customHeight="1">
      <c r="A5" s="5" t="inlineStr">
        <is>
          <t>Файл</t>
        </is>
      </c>
      <c r="B5" s="5" t="inlineStr">
        <is>
          <t>Что это и где живёт</t>
        </is>
      </c>
    </row>
    <row r="6" ht="32" customHeight="1">
      <c r="A6" s="6" t="inlineStr">
        <is>
          <t>Калькулятор_содержания_ребёнка.xlsx</t>
        </is>
      </c>
      <c r="B6" s="7" t="inlineStr">
        <is>
          <t>ЭТА КНИГА. Логика, параметры, каталог, методика. Жёлтое можно менять.</t>
        </is>
      </c>
    </row>
    <row r="7" ht="32" customHeight="1">
      <c r="A7" s="6" t="inlineStr">
        <is>
          <t>web/calc.html</t>
        </is>
      </c>
      <c r="B7" s="7" t="inlineStr">
        <is>
          <t>КАЛЬКУЛЯТОР. Автономный HTML, стили и данные вшиты. Собирается, руками не править.</t>
        </is>
      </c>
    </row>
    <row r="8" ht="32" customHeight="1">
      <c r="A8" s="6" t="inlineStr">
        <is>
          <t>web/каркас.html + blocks_data.json</t>
        </is>
      </c>
      <c r="B8" s="7" t="inlineStr">
        <is>
          <t>ИСТОЧНИК. Вёрстка и цифры. После правки: python3 web/собрать.py</t>
        </is>
      </c>
    </row>
    <row r="10" ht="22" customHeight="1">
      <c r="A10" s="3" t="inlineStr">
        <is>
          <t>КАК УСТРОЕНА КНИГА — 10 листов</t>
        </is>
      </c>
      <c r="B10" s="4" t="n"/>
    </row>
    <row r="11" ht="26" customHeight="1">
      <c r="A11" s="5" t="inlineStr">
        <is>
          <t>Лист</t>
        </is>
      </c>
      <c r="B11" s="5" t="inlineStr">
        <is>
          <t>Назначение</t>
        </is>
      </c>
    </row>
    <row r="12" ht="28" customHeight="1">
      <c r="A12" s="8" t="inlineStr">
        <is>
          <t>00_Читать</t>
        </is>
      </c>
      <c r="B12" s="7" t="inlineStr">
        <is>
          <t>Этот лист — карта проекта</t>
        </is>
      </c>
    </row>
    <row r="13" ht="28" customHeight="1">
      <c r="A13" s="8" t="inlineStr">
        <is>
          <t>01_Глоссарий</t>
        </is>
      </c>
      <c r="B13" s="7" t="inlineStr">
        <is>
          <t>Термины: амортизация, доля, минимум, период</t>
        </is>
      </c>
    </row>
    <row r="14" ht="28" customHeight="1">
      <c r="A14" s="8" t="inlineStr">
        <is>
          <t>02_Параметры</t>
        </is>
      </c>
      <c r="B14" s="7" t="inlineStr">
        <is>
          <t>Члены семьи и константы. ID в колонке A. FamilySize — именованный диапазон</t>
        </is>
      </c>
    </row>
    <row r="15" ht="28" customHeight="1">
      <c r="A15" s="8" t="inlineStr">
        <is>
          <t>03_Каталоги</t>
        </is>
      </c>
      <c r="B15" s="7" t="inlineStr">
        <is>
          <t>Все позиции одной таблицей. Без строк «Итого» — итог на 05_Сводка через SUMIF</t>
        </is>
      </c>
    </row>
    <row r="16" ht="28" customHeight="1">
      <c r="A16" s="8" t="inlineStr">
        <is>
          <t>04_Блоки</t>
        </is>
      </c>
      <c r="B16" s="7" t="inlineStr">
        <is>
          <t>Блоки, разделы, упаковки, привязка к частям экрана</t>
        </is>
      </c>
    </row>
    <row r="17" ht="28" customHeight="1">
      <c r="A17" s="8" t="inlineStr">
        <is>
          <t>05_Сводка</t>
        </is>
      </c>
      <c r="B17" s="7" t="inlineStr">
        <is>
          <t>Суммы по блокам и частям. Формулы SUMIF по каталогу</t>
        </is>
      </c>
    </row>
    <row r="18" ht="28" customHeight="1">
      <c r="A18" s="8" t="inlineStr">
        <is>
          <t>06_Методика</t>
        </is>
      </c>
      <c r="B18" s="7" t="inlineStr">
        <is>
          <t>Как из цены получается год и месяц. Цепочка расчёта</t>
        </is>
      </c>
    </row>
    <row r="19" ht="28" customHeight="1">
      <c r="A19" s="8" t="inlineStr">
        <is>
          <t>07_Тексты</t>
        </is>
      </c>
      <c r="B19" s="7" t="inlineStr">
        <is>
          <t>Надписи калькулятора. Колонка «Где» — поверхность</t>
        </is>
      </c>
    </row>
    <row r="20" ht="28" customHeight="1">
      <c r="A20" s="8" t="inlineStr">
        <is>
          <t>08_Палитра</t>
        </is>
      </c>
      <c r="B20" s="7" t="inlineStr">
        <is>
          <t>Цвета формы. Те же токены, что у калькулятора фотографа</t>
        </is>
      </c>
    </row>
    <row r="21" ht="28" customHeight="1">
      <c r="A21" s="8" t="inlineStr">
        <is>
          <t>09_Интерфейс</t>
        </is>
      </c>
      <c r="B21" s="7" t="inlineStr">
        <is>
          <t>Какие блоки на экране и в каком порядке</t>
        </is>
      </c>
    </row>
    <row r="23" ht="22" customHeight="1">
      <c r="A23" s="3" t="inlineStr">
        <is>
          <t>ЦВЕТА ЯЧЕЕК</t>
        </is>
      </c>
      <c r="B23" s="4" t="n"/>
    </row>
    <row r="24" ht="26" customHeight="1">
      <c r="A24" s="5" t="inlineStr">
        <is>
          <t>Цвет</t>
        </is>
      </c>
      <c r="B24" s="5" t="inlineStr">
        <is>
          <t>Значение</t>
        </is>
      </c>
    </row>
    <row r="25">
      <c r="A25" s="9" t="inlineStr">
        <is>
          <t>Жёлтое</t>
        </is>
      </c>
      <c r="B25" s="7" t="inlineStr">
        <is>
          <t>Ввод. Цену, количество, срок, период можно менять.</t>
        </is>
      </c>
    </row>
    <row r="26">
      <c r="A26" s="10" t="inlineStr">
        <is>
          <t>Зелёное</t>
        </is>
      </c>
      <c r="B26" s="7" t="inlineStr">
        <is>
          <t>Считается формулой. Не затирать.</t>
        </is>
      </c>
    </row>
    <row r="27">
      <c r="A27" s="11" t="inlineStr">
        <is>
          <t>Серое</t>
        </is>
      </c>
      <c r="B27" s="7" t="inlineStr">
        <is>
          <t>Константа или справочное. Обычно не трогают.</t>
        </is>
      </c>
    </row>
  </sheetData>
  <mergeCells count="5">
    <mergeCell ref="A4:B4"/>
    <mergeCell ref="A2:B2"/>
    <mergeCell ref="A10:B10"/>
    <mergeCell ref="A1:B1"/>
    <mergeCell ref="A23:B23"/>
  </mergeCells>
  <pageMargins left="0.75" right="0.75" top="1" bottom="1" header="0.5" footer="0.5"/>
  <pageSetup orientation="portrait" paperSize="9" fitToHeight="0" fitToWidth="1"/>
  <headerFooter>
    <oddHeader/>
    <oddFooter>&amp;RСтраница &amp;P из &amp;N · Счётикс</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D22"/>
  <sheetViews>
    <sheetView showGridLines="0" workbookViewId="0">
      <pane ySplit="5" topLeftCell="A6" activePane="bottomLeft" state="frozen"/>
      <selection pane="bottomLeft" activeCell="A1" sqref="A1"/>
    </sheetView>
  </sheetViews>
  <sheetFormatPr baseColWidth="8" defaultRowHeight="15"/>
  <cols>
    <col width="28" customWidth="1" min="1" max="1"/>
    <col width="16" customWidth="1" min="2" max="2"/>
    <col width="12" customWidth="1" min="3" max="3"/>
    <col width="88" customWidth="1" min="4" max="4"/>
  </cols>
  <sheetData>
    <row r="1" ht="22" customHeight="1">
      <c r="A1" s="1" t="inlineStr">
        <is>
          <t>01 · ГЛОССАРИЙ — понятия расчёта</t>
        </is>
      </c>
    </row>
    <row r="2" ht="32" customHeight="1">
      <c r="A2" s="2" t="inlineStr">
        <is>
          <t>Одни и те же слова на экране, в книге и в методике.</t>
        </is>
      </c>
    </row>
    <row r="4" ht="22" customHeight="1">
      <c r="A4" s="3" t="inlineStr">
        <is>
          <t>A · МАРКЕРЫ ТИПОВ</t>
        </is>
      </c>
      <c r="B4" s="4" t="n"/>
      <c r="C4" s="4" t="n"/>
      <c r="D4" s="4" t="n"/>
    </row>
    <row r="5" ht="26" customHeight="1">
      <c r="A5" s="5" t="inlineStr">
        <is>
          <t>Наименование</t>
        </is>
      </c>
      <c r="B5" s="5" t="inlineStr">
        <is>
          <t>ID</t>
        </is>
      </c>
      <c r="C5" s="5" t="inlineStr">
        <is>
          <t>Тип</t>
        </is>
      </c>
      <c r="D5" s="5" t="inlineStr">
        <is>
          <t>Описание</t>
        </is>
      </c>
    </row>
    <row r="6">
      <c r="A6" s="6" t="inlineStr">
        <is>
          <t>Константа</t>
        </is>
      </c>
      <c r="B6" s="8" t="inlineStr">
        <is>
          <t>const</t>
        </is>
      </c>
      <c r="C6" s="8" t="inlineStr">
        <is>
          <t>meta</t>
        </is>
      </c>
      <c r="D6" s="7" t="inlineStr">
        <is>
          <t>Аксиома. Пользователь не меняет. 12 месяцев, 52 недели.</t>
        </is>
      </c>
    </row>
    <row r="7">
      <c r="A7" s="6" t="inlineStr">
        <is>
          <t>Значение по умолчанию</t>
        </is>
      </c>
      <c r="B7" s="8" t="inlineStr">
        <is>
          <t>default</t>
        </is>
      </c>
      <c r="C7" s="8" t="inlineStr">
        <is>
          <t>meta</t>
        </is>
      </c>
      <c r="D7" s="7" t="inlineStr">
        <is>
          <t>Предзаполнено, можно изменить. Состав семьи, цены.</t>
        </is>
      </c>
    </row>
    <row r="8">
      <c r="A8" s="6" t="inlineStr">
        <is>
          <t>Формула</t>
        </is>
      </c>
      <c r="B8" s="8" t="inlineStr">
        <is>
          <t>calc</t>
        </is>
      </c>
      <c r="C8" s="8" t="inlineStr">
        <is>
          <t>meta</t>
        </is>
      </c>
      <c r="D8" s="7" t="inlineStr">
        <is>
          <t>Вычисляется из других величин. Ввод недоступен.</t>
        </is>
      </c>
    </row>
    <row r="9">
      <c r="A9" s="6" t="inlineStr">
        <is>
          <t>Переключатель</t>
        </is>
      </c>
      <c r="B9" s="8" t="inlineStr">
        <is>
          <t>switch</t>
        </is>
      </c>
      <c r="C9" s="8" t="inlineStr">
        <is>
          <t>meta</t>
        </is>
      </c>
      <c r="D9" s="7" t="inlineStr">
        <is>
          <t>Список: неделя / месяц / год. Меняет ветку расчёта.</t>
        </is>
      </c>
    </row>
    <row r="10" ht="22" customHeight="1">
      <c r="A10" s="3" t="inlineStr">
        <is>
          <t>B · ДЕНЬГИ И ВРЕМЯ</t>
        </is>
      </c>
      <c r="B10" s="4" t="n"/>
      <c r="C10" s="4" t="n"/>
      <c r="D10" s="4" t="n"/>
    </row>
    <row r="11" ht="26" customHeight="1">
      <c r="A11" s="5" t="inlineStr">
        <is>
          <t>Наименование</t>
        </is>
      </c>
      <c r="B11" s="5" t="inlineStr">
        <is>
          <t>ID</t>
        </is>
      </c>
      <c r="C11" s="5" t="inlineStr">
        <is>
          <t>Тип</t>
        </is>
      </c>
      <c r="D11" s="5" t="inlineStr">
        <is>
          <t>Описание</t>
        </is>
      </c>
    </row>
    <row r="12" ht="28" customHeight="1">
      <c r="A12" s="6" t="inlineStr">
        <is>
          <t>Срок службы</t>
        </is>
      </c>
      <c r="B12" s="8" t="inlineStr">
        <is>
          <t>years</t>
        </is>
      </c>
      <c r="C12" s="8" t="inlineStr">
        <is>
          <t>default</t>
        </is>
      </c>
      <c r="D12" s="7" t="inlineStr">
        <is>
          <t>Сколько лет вещь служит. Если заполнено — период не используется.</t>
        </is>
      </c>
    </row>
    <row r="13" ht="28" customHeight="1">
      <c r="A13" s="6" t="inlineStr">
        <is>
          <t>Период</t>
        </is>
      </c>
      <c r="B13" s="8" t="inlineStr">
        <is>
          <t>period</t>
        </is>
      </c>
      <c r="C13" s="8" t="inlineStr">
        <is>
          <t>switch</t>
        </is>
      </c>
      <c r="D13" s="7" t="inlineStr">
        <is>
          <t>неделя / месяц / год. Сколько раз в год платят, если нет срока службы.</t>
        </is>
      </c>
    </row>
    <row r="14" ht="28" customHeight="1">
      <c r="A14" s="6" t="inlineStr">
        <is>
          <t>Амортизация</t>
        </is>
      </c>
      <c r="B14" s="8" t="inlineStr">
        <is>
          <t>amort</t>
        </is>
      </c>
      <c r="C14" s="8" t="inlineStr">
        <is>
          <t>calc</t>
        </is>
      </c>
      <c r="D14" s="7" t="inlineStr">
        <is>
          <t>Цена × количество ÷ срок службы. Раскладываем покупку на годы.</t>
        </is>
      </c>
    </row>
    <row r="15" ht="28" customHeight="1">
      <c r="A15" s="6" t="inlineStr">
        <is>
          <t>Платёж</t>
        </is>
      </c>
      <c r="B15" s="8" t="inlineStr">
        <is>
          <t>pay</t>
        </is>
      </c>
      <c r="C15" s="8" t="inlineStr">
        <is>
          <t>calc</t>
        </is>
      </c>
      <c r="D15" s="7" t="inlineStr">
        <is>
          <t>Цена × количество × (52 | 12 | 1) в зависимости от периода.</t>
        </is>
      </c>
    </row>
    <row r="16" ht="28" customHeight="1">
      <c r="A16" s="6" t="inlineStr">
        <is>
          <t>Семья в год</t>
        </is>
      </c>
      <c r="B16" s="8" t="inlineStr">
        <is>
          <t>family_year</t>
        </is>
      </c>
      <c r="C16" s="8" t="inlineStr">
        <is>
          <t>calc</t>
        </is>
      </c>
      <c r="D16" s="7" t="inlineStr">
        <is>
          <t>Полная сумма на всю семью за год, до деления.</t>
        </is>
      </c>
    </row>
    <row r="17" ht="28" customHeight="1">
      <c r="A17" s="6" t="inlineStr">
        <is>
          <t>Доля ребёнка</t>
        </is>
      </c>
      <c r="B17" s="8" t="inlineStr">
        <is>
          <t>child_year</t>
        </is>
      </c>
      <c r="C17" s="8" t="inlineStr">
        <is>
          <t>calc</t>
        </is>
      </c>
      <c r="D17" s="7" t="inlineStr">
        <is>
          <t>Семья в год ÷ членов семьи. Для индивидуальных split = 1.</t>
        </is>
      </c>
    </row>
    <row r="18" ht="28" customHeight="1">
      <c r="A18" s="6" t="inlineStr">
        <is>
          <t>В месяц</t>
        </is>
      </c>
      <c r="B18" s="8" t="inlineStr">
        <is>
          <t>child_month</t>
        </is>
      </c>
      <c r="C18" s="8" t="inlineStr">
        <is>
          <t>calc</t>
        </is>
      </c>
      <c r="D18" s="7" t="inlineStr">
        <is>
          <t>Год ÷ 12. Чтобы сравнивать разовое и регулярное.</t>
        </is>
      </c>
    </row>
    <row r="19" ht="28" customHeight="1">
      <c r="A19" s="6" t="inlineStr">
        <is>
          <t>Минимум</t>
        </is>
      </c>
      <c r="B19" s="8" t="inlineStr">
        <is>
          <t>direct</t>
        </is>
      </c>
      <c r="C19" s="8" t="inlineStr">
        <is>
          <t>calc</t>
        </is>
      </c>
      <c r="D19" s="7" t="inlineStr">
        <is>
          <t>Только индивидуальные траты. Без жилья, машины, общего быта.</t>
        </is>
      </c>
    </row>
    <row r="20" ht="28" customHeight="1">
      <c r="A20" s="6" t="inlineStr">
        <is>
          <t>Полное содержание</t>
        </is>
      </c>
      <c r="B20" s="8" t="inlineStr">
        <is>
          <t>grand</t>
        </is>
      </c>
      <c r="C20" s="8" t="inlineStr">
        <is>
          <t>calc</t>
        </is>
      </c>
      <c r="D20" s="7" t="inlineStr">
        <is>
          <t>Минимум плюс доля в общих расходах семьи.</t>
        </is>
      </c>
    </row>
    <row r="21" ht="28" customHeight="1">
      <c r="A21" s="6" t="inlineStr">
        <is>
          <t>Членов семьи</t>
        </is>
      </c>
      <c r="B21" s="8" t="inlineStr">
        <is>
          <t>family_size</t>
        </is>
      </c>
      <c r="C21" s="8" t="inlineStr">
        <is>
          <t>default</t>
        </is>
      </c>
      <c r="D21" s="7" t="inlineStr">
        <is>
          <t>На сколько делим общее. По умолчанию 3.</t>
        </is>
      </c>
    </row>
    <row r="22" ht="28" customHeight="1">
      <c r="A22" s="6" t="inlineStr">
        <is>
          <t>Упаковка</t>
        </is>
      </c>
      <c r="B22" s="8" t="inlineStr">
        <is>
          <t>pack</t>
        </is>
      </c>
      <c r="C22" s="8" t="inlineStr">
        <is>
          <t>meta</t>
        </is>
      </c>
      <c r="D22" s="7" t="inlineStr">
        <is>
          <t>direct / housing / transport / household / trips. Минимум = только direct.</t>
        </is>
      </c>
    </row>
  </sheetData>
  <autoFilter ref="A11:D11"/>
  <mergeCells count="4">
    <mergeCell ref="A1:D1"/>
    <mergeCell ref="A10:D10"/>
    <mergeCell ref="A4:D4"/>
    <mergeCell ref="A2:D2"/>
  </mergeCells>
  <pageMargins left="0.75" right="0.75" top="1" bottom="1" header="0.5" footer="0.5"/>
  <pageSetup orientation="portrait" paperSize="9" fitToHeight="0" fitToWidth="1"/>
  <headerFooter>
    <oddHeader/>
    <oddFooter>&amp;RСтраница &amp;P из &amp;N · Счётикс</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13"/>
  <sheetViews>
    <sheetView showGridLines="0" workbookViewId="0">
      <pane ySplit="5" topLeftCell="A6" activePane="bottomLeft" state="frozen"/>
      <selection pane="bottomLeft" activeCell="A1" sqref="A1"/>
    </sheetView>
  </sheetViews>
  <sheetFormatPr baseColWidth="8" defaultRowHeight="15"/>
  <cols>
    <col width="16" customWidth="1" min="1" max="1"/>
    <col width="28" customWidth="1" min="2" max="2"/>
    <col width="14" customWidth="1" min="3" max="3"/>
    <col width="8" customWidth="1" min="4" max="4"/>
    <col width="36" customWidth="1" min="5" max="5"/>
    <col width="10" customWidth="1" min="6" max="6"/>
    <col width="56" customWidth="1" min="7" max="7"/>
  </cols>
  <sheetData>
    <row r="1" ht="22" customHeight="1">
      <c r="A1" s="1" t="inlineStr">
        <is>
          <t>02 · ПАРАМЕТРЫ — каждая величина объявлена один раз</t>
        </is>
      </c>
    </row>
    <row r="2" ht="32" customHeight="1">
      <c r="A2" s="2" t="inlineStr">
        <is>
          <t>Жёлтое — ввод. Зелёное — считается. Серое — константа. Формулы пишем через ID.</t>
        </is>
      </c>
    </row>
    <row r="4" ht="22" customHeight="1">
      <c r="A4" s="3" t="inlineStr">
        <is>
          <t>1 · СЕМЬЯ</t>
        </is>
      </c>
      <c r="B4" s="4" t="n"/>
      <c r="C4" s="4" t="n"/>
      <c r="D4" s="4" t="n"/>
      <c r="E4" s="4" t="n"/>
      <c r="F4" s="4" t="n"/>
      <c r="G4" s="4" t="n"/>
    </row>
    <row r="5" ht="26" customHeight="1">
      <c r="A5" s="5" t="inlineStr">
        <is>
          <t>ID</t>
        </is>
      </c>
      <c r="B5" s="5" t="inlineStr">
        <is>
          <t>Название</t>
        </is>
      </c>
      <c r="C5" s="5" t="inlineStr">
        <is>
          <t>Значение</t>
        </is>
      </c>
      <c r="D5" s="5" t="inlineStr">
        <is>
          <t>Ед.</t>
        </is>
      </c>
      <c r="E5" s="5" t="inlineStr">
        <is>
          <t>Формула / как получено</t>
        </is>
      </c>
      <c r="F5" s="5" t="inlineStr">
        <is>
          <t>Тип</t>
        </is>
      </c>
      <c r="G5" s="5" t="inlineStr">
        <is>
          <t>Комментарий</t>
        </is>
      </c>
    </row>
    <row r="6">
      <c r="A6" s="12" t="inlineStr">
        <is>
          <t>family_size</t>
        </is>
      </c>
      <c r="B6" s="7" t="inlineStr">
        <is>
          <t>Членов семьи</t>
        </is>
      </c>
      <c r="C6" s="13" t="n">
        <v>3</v>
      </c>
      <c r="D6" s="7" t="inlineStr">
        <is>
          <t>чел</t>
        </is>
      </c>
      <c r="E6" s="7" t="inlineStr">
        <is>
          <t>на сколько делим общее</t>
        </is>
      </c>
      <c r="F6" s="8" t="inlineStr">
        <is>
          <t>default</t>
        </is>
      </c>
      <c r="G6" s="7" t="inlineStr">
        <is>
          <t>Именованный диапазон FamilySize. Каталог ссылается на него.</t>
        </is>
      </c>
    </row>
    <row r="8" ht="22" customHeight="1">
      <c r="A8" s="3" t="inlineStr">
        <is>
          <t>2 · КАЛЕНДАРЬ</t>
        </is>
      </c>
      <c r="B8" s="4" t="n"/>
      <c r="C8" s="4" t="n"/>
      <c r="D8" s="4" t="n"/>
      <c r="E8" s="4" t="n"/>
      <c r="F8" s="4" t="n"/>
      <c r="G8" s="4" t="n"/>
    </row>
    <row r="9">
      <c r="A9" s="14" t="inlineStr">
        <is>
          <t>ID</t>
        </is>
      </c>
      <c r="B9" s="14" t="inlineStr">
        <is>
          <t>Название</t>
        </is>
      </c>
      <c r="C9" s="14" t="inlineStr">
        <is>
          <t>Значение</t>
        </is>
      </c>
      <c r="D9" s="14" t="inlineStr">
        <is>
          <t>Ед.</t>
        </is>
      </c>
      <c r="E9" s="14" t="inlineStr">
        <is>
          <t>Формула / как получено</t>
        </is>
      </c>
      <c r="F9" s="14" t="inlineStr">
        <is>
          <t>Тип</t>
        </is>
      </c>
      <c r="G9" s="14" t="inlineStr">
        <is>
          <t>Комментарий</t>
        </is>
      </c>
    </row>
    <row r="10">
      <c r="A10" s="12" t="inlineStr">
        <is>
          <t>days_year</t>
        </is>
      </c>
      <c r="B10" s="7" t="inlineStr">
        <is>
          <t>Дней в году</t>
        </is>
      </c>
      <c r="C10" s="15" t="n">
        <v>365</v>
      </c>
      <c r="D10" s="7" t="inlineStr">
        <is>
          <t>дн</t>
        </is>
      </c>
      <c r="E10" s="7" t="inlineStr"/>
      <c r="F10" s="8" t="inlineStr">
        <is>
          <t>const</t>
        </is>
      </c>
      <c r="G10" s="7" t="inlineStr">
        <is>
          <t>календарный год</t>
        </is>
      </c>
    </row>
    <row r="11">
      <c r="A11" s="12" t="inlineStr">
        <is>
          <t>months</t>
        </is>
      </c>
      <c r="B11" s="7" t="inlineStr">
        <is>
          <t>Месяцев в году</t>
        </is>
      </c>
      <c r="C11" s="15" t="n">
        <v>12</v>
      </c>
      <c r="D11" s="7" t="inlineStr">
        <is>
          <t>мес</t>
        </is>
      </c>
      <c r="E11" s="7" t="inlineStr"/>
      <c r="F11" s="8" t="inlineStr">
        <is>
          <t>const</t>
        </is>
      </c>
      <c r="G11" s="7" t="inlineStr">
        <is>
          <t>перевод года в месяц</t>
        </is>
      </c>
    </row>
    <row r="12">
      <c r="A12" s="12" t="inlineStr">
        <is>
          <t>weeks_year</t>
        </is>
      </c>
      <c r="B12" s="7" t="inlineStr">
        <is>
          <t>Недель в году</t>
        </is>
      </c>
      <c r="C12" s="15" t="n">
        <v>52</v>
      </c>
      <c r="D12" s="7" t="inlineStr">
        <is>
          <t>нед</t>
        </is>
      </c>
      <c r="E12" s="7" t="inlineStr">
        <is>
          <t>округлено, не 365/7</t>
        </is>
      </c>
      <c r="F12" s="8" t="inlineStr">
        <is>
          <t>const</t>
        </is>
      </c>
      <c r="G12" s="7" t="inlineStr">
        <is>
          <t>еженедельные покупки</t>
        </is>
      </c>
    </row>
    <row r="13">
      <c r="A13" s="12" t="inlineStr">
        <is>
          <t>currency</t>
        </is>
      </c>
      <c r="B13" s="7" t="inlineStr">
        <is>
          <t>Валюта</t>
        </is>
      </c>
      <c r="C13" s="15" t="inlineStr">
        <is>
          <t>RUB</t>
        </is>
      </c>
      <c r="D13" s="7" t="inlineStr"/>
      <c r="E13" s="7" t="inlineStr"/>
      <c r="F13" s="8" t="inlineStr">
        <is>
          <t>const</t>
        </is>
      </c>
      <c r="G13" s="7" t="inlineStr">
        <is>
          <t>все суммы в рублях</t>
        </is>
      </c>
    </row>
  </sheetData>
  <autoFilter ref="A5:G5"/>
  <mergeCells count="4">
    <mergeCell ref="A8:G8"/>
    <mergeCell ref="A2:G2"/>
    <mergeCell ref="A1:G1"/>
    <mergeCell ref="A4:G4"/>
  </mergeCells>
  <pageMargins left="0.75" right="0.75" top="1" bottom="1" header="0.5" footer="0.5"/>
  <pageSetup orientation="portrait" paperSize="9" fitToHeight="0" fitToWidth="1"/>
  <headerFooter>
    <oddHeader/>
    <oddFooter>&amp;RСтраница &amp;P из &amp;N · Счётикс</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M230"/>
  <sheetViews>
    <sheetView showGridLines="0" workbookViewId="0">
      <pane ySplit="4" topLeftCell="A5" activePane="bottomLeft" state="frozen"/>
      <selection pane="bottomLeft" activeCell="A1" sqref="A1"/>
    </sheetView>
  </sheetViews>
  <sheetFormatPr baseColWidth="8" defaultRowHeight="15"/>
  <cols>
    <col width="20" customWidth="1" min="1" max="1"/>
    <col width="42" customWidth="1" min="2" max="2"/>
    <col width="10" customWidth="1" min="3" max="3"/>
    <col width="14" customWidth="1" min="4" max="4"/>
    <col width="12" customWidth="1" min="5" max="5"/>
    <col width="12" customWidth="1" min="6" max="6"/>
    <col width="12" customWidth="1" min="7" max="7"/>
    <col width="36" customWidth="1" min="8" max="8"/>
    <col width="10" customWidth="1" min="9" max="9"/>
    <col width="14" customWidth="1" min="10" max="10"/>
    <col width="16" customWidth="1" min="11" max="11"/>
    <col width="18" customWidth="1" min="12" max="12"/>
    <col width="20" customWidth="1" min="13" max="13"/>
  </cols>
  <sheetData>
    <row r="1" ht="22" customHeight="1">
      <c r="A1" s="1" t="inlineStr">
        <is>
          <t>03 · КАТАЛОГИ — все позиции одной таблицей</t>
        </is>
      </c>
    </row>
    <row r="2" ht="32" customHeight="1">
      <c r="A2" s="2" t="inlineStr">
        <is>
          <t>Без строк «Итого». Итог — на 05_Сводка формулой SUMIF. Жёлтое меняйте. Период: неделя / месяц / год.</t>
        </is>
      </c>
    </row>
    <row r="4" ht="26" customHeight="1">
      <c r="A4" s="5" t="inlineStr">
        <is>
          <t>Блок</t>
        </is>
      </c>
      <c r="B4" s="5" t="inlineStr">
        <is>
          <t>Наименование</t>
        </is>
      </c>
      <c r="C4" s="5" t="inlineStr">
        <is>
          <t>Кол-во</t>
        </is>
      </c>
      <c r="D4" s="5" t="inlineStr">
        <is>
          <t>Цена, ₽</t>
        </is>
      </c>
      <c r="E4" s="5" t="inlineStr">
        <is>
          <t>Срок, лет</t>
        </is>
      </c>
      <c r="F4" s="5" t="inlineStr">
        <is>
          <t>Период</t>
        </is>
      </c>
      <c r="G4" s="5" t="inlineStr">
        <is>
          <t>Делим на</t>
        </is>
      </c>
      <c r="H4" s="5" t="inlineStr">
        <is>
          <t>Ссылка</t>
        </is>
      </c>
      <c r="I4" s="5" t="inlineStr">
        <is>
          <t>Тип</t>
        </is>
      </c>
      <c r="J4" s="5" t="inlineStr">
        <is>
          <t>Платежей/год</t>
        </is>
      </c>
      <c r="K4" s="5" t="inlineStr">
        <is>
          <t>Семья в год, ₽</t>
        </is>
      </c>
      <c r="L4" s="5" t="inlineStr">
        <is>
          <t>Ребёнок в год, ₽</t>
        </is>
      </c>
      <c r="M4" s="5" t="inlineStr">
        <is>
          <t>Ребёнок в месяц, ₽</t>
        </is>
      </c>
    </row>
    <row r="5" ht="18" customHeight="1">
      <c r="A5" s="8" t="inlineStr">
        <is>
          <t>acc</t>
        </is>
      </c>
      <c r="B5" s="7" t="inlineStr">
        <is>
          <t>Бейсболка</t>
        </is>
      </c>
      <c r="C5" s="13" t="n">
        <v>2</v>
      </c>
      <c r="D5" s="16" t="n">
        <v>399</v>
      </c>
      <c r="E5" s="13" t="n">
        <v>2</v>
      </c>
      <c r="F5" s="13" t="inlineStr"/>
      <c r="G5" s="15" t="n">
        <v>1</v>
      </c>
      <c r="H5" s="17" t="inlineStr">
        <is>
          <t>https://www.detmir.ru/search/results/?qt=%D0%B1%D0%B5%D0%B9%D1%81%D0%B1%D0%BE%D0%BB%D0%BA%D0%B0</t>
        </is>
      </c>
      <c r="I5" s="8" t="inlineStr">
        <is>
          <t>amort</t>
        </is>
      </c>
      <c r="J5" s="18">
        <f>IF(F5="год",1,IF(F5="месяц",MonthsYear,IF(F5="неделя",WeeksYear,0)))</f>
        <v/>
      </c>
      <c r="K5" s="19">
        <f>IF(N(E5)&gt;0,C5*D5/E5,C5*D5*J5)</f>
        <v/>
      </c>
      <c r="L5" s="19">
        <f>IF(G5=0,0,K5/G5)</f>
        <v/>
      </c>
      <c r="M5" s="19">
        <f>IF(L5=0,0,L5/MonthsYear)</f>
        <v/>
      </c>
    </row>
    <row r="6" ht="18" customHeight="1">
      <c r="A6" s="8" t="inlineStr">
        <is>
          <t>acc</t>
        </is>
      </c>
      <c r="B6" s="7" t="inlineStr">
        <is>
          <t>Зонт или дождевик</t>
        </is>
      </c>
      <c r="C6" s="13" t="n">
        <v>1</v>
      </c>
      <c r="D6" s="16" t="n">
        <v>699</v>
      </c>
      <c r="E6" s="13" t="n">
        <v>2</v>
      </c>
      <c r="F6" s="13" t="inlineStr"/>
      <c r="G6" s="15" t="n">
        <v>1</v>
      </c>
      <c r="H6" s="17" t="inlineStr">
        <is>
          <t>https://www.detmir.ru/search/results/?qt=%D0%B4%D0%BE%D0%B6%D0%B4%D0%B5%D0%B2%D0%B8%D0%BA%20%D0%B4%D0%B5%D1%82%D1%81%D0%BA%D0%B8%D0%B9</t>
        </is>
      </c>
      <c r="I6" s="8" t="inlineStr">
        <is>
          <t>amort</t>
        </is>
      </c>
      <c r="J6" s="18">
        <f>IF(F6="год",1,IF(F6="месяц",MonthsYear,IF(F6="неделя",WeeksYear,0)))</f>
        <v/>
      </c>
      <c r="K6" s="19">
        <f>IF(N(E6)&gt;0,C6*D6/E6,C6*D6*J6)</f>
        <v/>
      </c>
      <c r="L6" s="19">
        <f>IF(G6=0,0,K6/G6)</f>
        <v/>
      </c>
      <c r="M6" s="19">
        <f>IF(L6=0,0,L6/MonthsYear)</f>
        <v/>
      </c>
    </row>
    <row r="7" ht="18" customHeight="1">
      <c r="A7" s="8" t="inlineStr">
        <is>
          <t>acc</t>
        </is>
      </c>
      <c r="B7" s="7" t="inlineStr">
        <is>
          <t>Перчатки зимние</t>
        </is>
      </c>
      <c r="C7" s="13" t="n">
        <v>1</v>
      </c>
      <c r="D7" s="16" t="n">
        <v>599</v>
      </c>
      <c r="E7" s="13" t="n">
        <v>2</v>
      </c>
      <c r="F7" s="13" t="inlineStr"/>
      <c r="G7" s="15" t="n">
        <v>1</v>
      </c>
      <c r="H7" s="17" t="inlineStr">
        <is>
          <t>https://www.detmir.ru/search/results/?qt=%D0%BF%D0%B5%D1%80%D1%87%D0%B0%D1%82%D0%BA%D0%B8%20%D0%B7%D0%B8%D0%BC%D0%BD%D0%B8%D0%B5</t>
        </is>
      </c>
      <c r="I7" s="8" t="inlineStr">
        <is>
          <t>amort</t>
        </is>
      </c>
      <c r="J7" s="18">
        <f>IF(F7="год",1,IF(F7="месяц",MonthsYear,IF(F7="неделя",WeeksYear,0)))</f>
        <v/>
      </c>
      <c r="K7" s="19">
        <f>IF(N(E7)&gt;0,C7*D7/E7,C7*D7*J7)</f>
        <v/>
      </c>
      <c r="L7" s="19">
        <f>IF(G7=0,0,K7/G7)</f>
        <v/>
      </c>
      <c r="M7" s="19">
        <f>IF(L7=0,0,L7/MonthsYear)</f>
        <v/>
      </c>
    </row>
    <row r="8" ht="18" customHeight="1">
      <c r="A8" s="8" t="inlineStr">
        <is>
          <t>acc</t>
        </is>
      </c>
      <c r="B8" s="7" t="inlineStr">
        <is>
          <t>Перчатки осенние</t>
        </is>
      </c>
      <c r="C8" s="13" t="n">
        <v>1</v>
      </c>
      <c r="D8" s="16" t="n">
        <v>399</v>
      </c>
      <c r="E8" s="13" t="n">
        <v>2</v>
      </c>
      <c r="F8" s="13" t="inlineStr"/>
      <c r="G8" s="15" t="n">
        <v>1</v>
      </c>
      <c r="H8" s="17" t="inlineStr">
        <is>
          <t>https://www.detmir.ru/search/results/?qt=%D0%BF%D0%B5%D1%80%D1%87%D0%B0%D1%82%D0%BA%D0%B8</t>
        </is>
      </c>
      <c r="I8" s="8" t="inlineStr">
        <is>
          <t>amort</t>
        </is>
      </c>
      <c r="J8" s="18">
        <f>IF(F8="год",1,IF(F8="месяц",MonthsYear,IF(F8="неделя",WeeksYear,0)))</f>
        <v/>
      </c>
      <c r="K8" s="19">
        <f>IF(N(E8)&gt;0,C8*D8/E8,C8*D8*J8)</f>
        <v/>
      </c>
      <c r="L8" s="19">
        <f>IF(G8=0,0,K8/G8)</f>
        <v/>
      </c>
      <c r="M8" s="19">
        <f>IF(L8=0,0,L8/MonthsYear)</f>
        <v/>
      </c>
    </row>
    <row r="9" ht="18" customHeight="1">
      <c r="A9" s="8" t="inlineStr">
        <is>
          <t>acc</t>
        </is>
      </c>
      <c r="B9" s="7" t="inlineStr">
        <is>
          <t>Солнечные очки</t>
        </is>
      </c>
      <c r="C9" s="13" t="n">
        <v>1</v>
      </c>
      <c r="D9" s="16" t="n">
        <v>799</v>
      </c>
      <c r="E9" s="13" t="n">
        <v>2</v>
      </c>
      <c r="F9" s="13" t="inlineStr"/>
      <c r="G9" s="15" t="n">
        <v>1</v>
      </c>
      <c r="H9" s="17" t="inlineStr">
        <is>
          <t>https://www.detmir.ru/search/results/?qt=PlayToday%20%D0%BE%D1%87%D0%BA%D0%B8</t>
        </is>
      </c>
      <c r="I9" s="8" t="inlineStr">
        <is>
          <t>amort</t>
        </is>
      </c>
      <c r="J9" s="18">
        <f>IF(F9="год",1,IF(F9="месяц",MonthsYear,IF(F9="неделя",WeeksYear,0)))</f>
        <v/>
      </c>
      <c r="K9" s="19">
        <f>IF(N(E9)&gt;0,C9*D9/E9,C9*D9*J9)</f>
        <v/>
      </c>
      <c r="L9" s="19">
        <f>IF(G9=0,0,K9/G9)</f>
        <v/>
      </c>
      <c r="M9" s="19">
        <f>IF(L9=0,0,L9/MonthsYear)</f>
        <v/>
      </c>
    </row>
    <row r="10" ht="18" customHeight="1">
      <c r="A10" s="8" t="inlineStr">
        <is>
          <t>acc</t>
        </is>
      </c>
      <c r="B10" s="7" t="inlineStr">
        <is>
          <t>Сумка для коньков</t>
        </is>
      </c>
      <c r="C10" s="13" t="n">
        <v>1</v>
      </c>
      <c r="D10" s="16" t="n">
        <v>1100</v>
      </c>
      <c r="E10" s="13" t="n">
        <v>3</v>
      </c>
      <c r="F10" s="13" t="inlineStr"/>
      <c r="G10" s="15" t="n">
        <v>1</v>
      </c>
      <c r="H10" s="17" t="inlineStr">
        <is>
          <t>https://www.detmir.ru/search/results/?qt=%D1%81%D1%83%D0%BC%D0%BA%D0%B0%20%D0%B4%D0%BB%D1%8F%20%D0%BA%D0%BE%D0%BD%D1%8C%D0%BA%D0%BE%D0%B2</t>
        </is>
      </c>
      <c r="I10" s="8" t="inlineStr">
        <is>
          <t>amort</t>
        </is>
      </c>
      <c r="J10" s="18">
        <f>IF(F10="год",1,IF(F10="месяц",MonthsYear,IF(F10="неделя",WeeksYear,0)))</f>
        <v/>
      </c>
      <c r="K10" s="19">
        <f>IF(N(E10)&gt;0,C10*D10/E10,C10*D10*J10)</f>
        <v/>
      </c>
      <c r="L10" s="19">
        <f>IF(G10=0,0,K10/G10)</f>
        <v/>
      </c>
      <c r="M10" s="19">
        <f>IF(L10=0,0,L10/MonthsYear)</f>
        <v/>
      </c>
    </row>
    <row r="11" ht="18" customHeight="1">
      <c r="A11" s="8" t="inlineStr">
        <is>
          <t>acc</t>
        </is>
      </c>
      <c r="B11" s="7" t="inlineStr">
        <is>
          <t>Шапка зимняя</t>
        </is>
      </c>
      <c r="C11" s="13" t="n">
        <v>1</v>
      </c>
      <c r="D11" s="16" t="n">
        <v>699</v>
      </c>
      <c r="E11" s="13" t="n">
        <v>2</v>
      </c>
      <c r="F11" s="13" t="inlineStr"/>
      <c r="G11" s="15" t="n">
        <v>1</v>
      </c>
      <c r="H11" s="17" t="inlineStr">
        <is>
          <t>https://www.detmir.ru/search/results/?qt=%D1%88%D0%B0%D0%BF%D0%BA%D0%B0%20%D0%B7%D0%B8%D0%BC%D0%BD%D1%8F%D1%8F</t>
        </is>
      </c>
      <c r="I11" s="8" t="inlineStr">
        <is>
          <t>amort</t>
        </is>
      </c>
      <c r="J11" s="18">
        <f>IF(F11="год",1,IF(F11="месяц",MonthsYear,IF(F11="неделя",WeeksYear,0)))</f>
        <v/>
      </c>
      <c r="K11" s="19">
        <f>IF(N(E11)&gt;0,C11*D11/E11,C11*D11*J11)</f>
        <v/>
      </c>
      <c r="L11" s="19">
        <f>IF(G11=0,0,K11/G11)</f>
        <v/>
      </c>
      <c r="M11" s="19">
        <f>IF(L11=0,0,L11/MonthsYear)</f>
        <v/>
      </c>
    </row>
    <row r="12" ht="18" customHeight="1">
      <c r="A12" s="8" t="inlineStr">
        <is>
          <t>acc</t>
        </is>
      </c>
      <c r="B12" s="7" t="inlineStr">
        <is>
          <t>Шапка осенняя</t>
        </is>
      </c>
      <c r="C12" s="13" t="n">
        <v>1</v>
      </c>
      <c r="D12" s="16" t="n">
        <v>499</v>
      </c>
      <c r="E12" s="13" t="n">
        <v>2</v>
      </c>
      <c r="F12" s="13" t="inlineStr"/>
      <c r="G12" s="15" t="n">
        <v>1</v>
      </c>
      <c r="H12" s="17" t="inlineStr">
        <is>
          <t>https://www.detmir.ru/search/results/?qt=%D1%88%D0%B0%D0%BF%D0%BA%D0%B0%20%D0%BE%D1%81%D0%B5%D0%BD%D0%BD%D1%8F%D1%8F</t>
        </is>
      </c>
      <c r="I12" s="8" t="inlineStr">
        <is>
          <t>amort</t>
        </is>
      </c>
      <c r="J12" s="18">
        <f>IF(F12="год",1,IF(F12="месяц",MonthsYear,IF(F12="неделя",WeeksYear,0)))</f>
        <v/>
      </c>
      <c r="K12" s="19">
        <f>IF(N(E12)&gt;0,C12*D12/E12,C12*D12*J12)</f>
        <v/>
      </c>
      <c r="L12" s="19">
        <f>IF(G12=0,0,K12/G12)</f>
        <v/>
      </c>
      <c r="M12" s="19">
        <f>IF(L12=0,0,L12/MonthsYear)</f>
        <v/>
      </c>
    </row>
    <row r="13" ht="18" customHeight="1">
      <c r="A13" s="8" t="inlineStr">
        <is>
          <t>acc</t>
        </is>
      </c>
      <c r="B13" s="7" t="inlineStr">
        <is>
          <t>Шарф</t>
        </is>
      </c>
      <c r="C13" s="13" t="n">
        <v>1</v>
      </c>
      <c r="D13" s="16" t="n">
        <v>399</v>
      </c>
      <c r="E13" s="13" t="n">
        <v>2</v>
      </c>
      <c r="F13" s="13" t="inlineStr"/>
      <c r="G13" s="15" t="n">
        <v>1</v>
      </c>
      <c r="H13" s="17" t="inlineStr">
        <is>
          <t>https://www.detmir.ru/search/results/?qt=%D1%88%D0%B0%D1%80%D1%84</t>
        </is>
      </c>
      <c r="I13" s="8" t="inlineStr">
        <is>
          <t>amort</t>
        </is>
      </c>
      <c r="J13" s="18">
        <f>IF(F13="год",1,IF(F13="месяц",MonthsYear,IF(F13="неделя",WeeksYear,0)))</f>
        <v/>
      </c>
      <c r="K13" s="19">
        <f>IF(N(E13)&gt;0,C13*D13/E13,C13*D13*J13)</f>
        <v/>
      </c>
      <c r="L13" s="19">
        <f>IF(G13=0,0,K13/G13)</f>
        <v/>
      </c>
      <c r="M13" s="19">
        <f>IF(L13=0,0,L13/MonthsYear)</f>
        <v/>
      </c>
    </row>
    <row r="14" ht="18" customHeight="1">
      <c r="A14" s="8" t="inlineStr">
        <is>
          <t>underwear</t>
        </is>
      </c>
      <c r="B14" s="7" t="inlineStr">
        <is>
          <t>Майка</t>
        </is>
      </c>
      <c r="C14" s="13" t="n">
        <v>5</v>
      </c>
      <c r="D14" s="16" t="n">
        <v>399</v>
      </c>
      <c r="E14" s="13" t="n">
        <v>1</v>
      </c>
      <c r="F14" s="13" t="inlineStr"/>
      <c r="G14" s="15" t="n">
        <v>1</v>
      </c>
      <c r="H14" s="17" t="inlineStr">
        <is>
          <t>https://www.detmir.ru/product/index/id/6733145/</t>
        </is>
      </c>
      <c r="I14" s="8" t="inlineStr">
        <is>
          <t>amort</t>
        </is>
      </c>
      <c r="J14" s="18">
        <f>IF(F14="год",1,IF(F14="месяц",MonthsYear,IF(F14="неделя",WeeksYear,0)))</f>
        <v/>
      </c>
      <c r="K14" s="19">
        <f>IF(N(E14)&gt;0,C14*D14/E14,C14*D14*J14)</f>
        <v/>
      </c>
      <c r="L14" s="19">
        <f>IF(G14=0,0,K14/G14)</f>
        <v/>
      </c>
      <c r="M14" s="19">
        <f>IF(L14=0,0,L14/MonthsYear)</f>
        <v/>
      </c>
    </row>
    <row r="15" ht="18" customHeight="1">
      <c r="A15" s="8" t="inlineStr">
        <is>
          <t>underwear</t>
        </is>
      </c>
      <c r="B15" s="7" t="inlineStr">
        <is>
          <t>Носки обычные, набор 5 пар</t>
        </is>
      </c>
      <c r="C15" s="13" t="n">
        <v>1</v>
      </c>
      <c r="D15" s="16" t="n">
        <v>399</v>
      </c>
      <c r="E15" s="13" t="n">
        <v>1</v>
      </c>
      <c r="F15" s="13" t="inlineStr"/>
      <c r="G15" s="15" t="n">
        <v>1</v>
      </c>
      <c r="H15" s="17" t="inlineStr">
        <is>
          <t>https://www.detmir.ru/product/index/id/6550049/</t>
        </is>
      </c>
      <c r="I15" s="8" t="inlineStr">
        <is>
          <t>amort</t>
        </is>
      </c>
      <c r="J15" s="18">
        <f>IF(F15="год",1,IF(F15="месяц",MonthsYear,IF(F15="неделя",WeeksYear,0)))</f>
        <v/>
      </c>
      <c r="K15" s="19">
        <f>IF(N(E15)&gt;0,C15*D15/E15,C15*D15*J15)</f>
        <v/>
      </c>
      <c r="L15" s="19">
        <f>IF(G15=0,0,K15/G15)</f>
        <v/>
      </c>
      <c r="M15" s="19">
        <f>IF(L15=0,0,L15/MonthsYear)</f>
        <v/>
      </c>
    </row>
    <row r="16" ht="18" customHeight="1">
      <c r="A16" s="8" t="inlineStr">
        <is>
          <t>underwear</t>
        </is>
      </c>
      <c r="B16" s="7" t="inlineStr">
        <is>
          <t>Носки утеплённые</t>
        </is>
      </c>
      <c r="C16" s="13" t="n">
        <v>2</v>
      </c>
      <c r="D16" s="16" t="n">
        <v>399</v>
      </c>
      <c r="E16" s="13" t="n">
        <v>1</v>
      </c>
      <c r="F16" s="13" t="inlineStr"/>
      <c r="G16" s="15" t="n">
        <v>1</v>
      </c>
      <c r="H16" s="17" t="inlineStr">
        <is>
          <t>https://www.detmir.ru/search/results/?qt=%D0%BD%D0%BE%D1%81%D0%BA%D0%B8%20%D0%B7%D0%B8%D0%BC%D0%BD%D0%B8%D0%B5%20%D0%B4%D0%B5%D1%82%D1%81%D0%BA%D0%B8%D0%B5</t>
        </is>
      </c>
      <c r="I16" s="8" t="inlineStr">
        <is>
          <t>amort</t>
        </is>
      </c>
      <c r="J16" s="18">
        <f>IF(F16="год",1,IF(F16="месяц",MonthsYear,IF(F16="неделя",WeeksYear,0)))</f>
        <v/>
      </c>
      <c r="K16" s="19">
        <f>IF(N(E16)&gt;0,C16*D16/E16,C16*D16*J16)</f>
        <v/>
      </c>
      <c r="L16" s="19">
        <f>IF(G16=0,0,K16/G16)</f>
        <v/>
      </c>
      <c r="M16" s="19">
        <f>IF(L16=0,0,L16/MonthsYear)</f>
        <v/>
      </c>
    </row>
    <row r="17" ht="18" customHeight="1">
      <c r="A17" s="8" t="inlineStr">
        <is>
          <t>underwear</t>
        </is>
      </c>
      <c r="B17" s="7" t="inlineStr">
        <is>
          <t>Термобельё, комплект</t>
        </is>
      </c>
      <c r="C17" s="13" t="n">
        <v>1</v>
      </c>
      <c r="D17" s="16" t="n">
        <v>1499</v>
      </c>
      <c r="E17" s="13" t="n">
        <v>1</v>
      </c>
      <c r="F17" s="13" t="inlineStr"/>
      <c r="G17" s="15" t="n">
        <v>1</v>
      </c>
      <c r="H17" s="17" t="inlineStr">
        <is>
          <t>https://www.detmir.ru/search/results/?qt=%D1%82%D0%B5%D1%80%D0%BC%D0%BE%D0%B1%D0%B5%D0%BB%D1%8C%D0%B5</t>
        </is>
      </c>
      <c r="I17" s="8" t="inlineStr">
        <is>
          <t>amort</t>
        </is>
      </c>
      <c r="J17" s="18">
        <f>IF(F17="год",1,IF(F17="месяц",MonthsYear,IF(F17="неделя",WeeksYear,0)))</f>
        <v/>
      </c>
      <c r="K17" s="19">
        <f>IF(N(E17)&gt;0,C17*D17/E17,C17*D17*J17)</f>
        <v/>
      </c>
      <c r="L17" s="19">
        <f>IF(G17=0,0,K17/G17)</f>
        <v/>
      </c>
      <c r="M17" s="19">
        <f>IF(L17=0,0,L17/MonthsYear)</f>
        <v/>
      </c>
    </row>
    <row r="18" ht="18" customHeight="1">
      <c r="A18" s="8" t="inlineStr">
        <is>
          <t>underwear</t>
        </is>
      </c>
      <c r="B18" s="7" t="inlineStr">
        <is>
          <t>Трусы, набор 5 шт.</t>
        </is>
      </c>
      <c r="C18" s="13" t="n">
        <v>1</v>
      </c>
      <c r="D18" s="16" t="n">
        <v>799</v>
      </c>
      <c r="E18" s="13" t="n">
        <v>1</v>
      </c>
      <c r="F18" s="13" t="inlineStr"/>
      <c r="G18" s="15" t="n">
        <v>1</v>
      </c>
      <c r="H18" s="17" t="inlineStr">
        <is>
          <t>https://www.detmir.ru/product/index/id/7072737/</t>
        </is>
      </c>
      <c r="I18" s="8" t="inlineStr">
        <is>
          <t>amort</t>
        </is>
      </c>
      <c r="J18" s="18">
        <f>IF(F18="год",1,IF(F18="месяц",MonthsYear,IF(F18="неделя",WeeksYear,0)))</f>
        <v/>
      </c>
      <c r="K18" s="19">
        <f>IF(N(E18)&gt;0,C18*D18/E18,C18*D18*J18)</f>
        <v/>
      </c>
      <c r="L18" s="19">
        <f>IF(G18=0,0,K18/G18)</f>
        <v/>
      </c>
      <c r="M18" s="19">
        <f>IF(L18=0,0,L18/MonthsYear)</f>
        <v/>
      </c>
    </row>
    <row r="19" ht="18" customHeight="1">
      <c r="A19" s="8" t="inlineStr">
        <is>
          <t>outer</t>
        </is>
      </c>
      <c r="B19" s="7" t="inlineStr">
        <is>
          <t>Ветровка</t>
        </is>
      </c>
      <c r="C19" s="13" t="n">
        <v>1</v>
      </c>
      <c r="D19" s="16" t="n">
        <v>1299</v>
      </c>
      <c r="E19" s="13" t="n">
        <v>2</v>
      </c>
      <c r="F19" s="13" t="inlineStr"/>
      <c r="G19" s="15" t="n">
        <v>1</v>
      </c>
      <c r="H19" s="17" t="inlineStr">
        <is>
          <t>https://www.detmir.ru/product/index/id/6022408/</t>
        </is>
      </c>
      <c r="I19" s="8" t="inlineStr">
        <is>
          <t>amort</t>
        </is>
      </c>
      <c r="J19" s="18">
        <f>IF(F19="год",1,IF(F19="месяц",MonthsYear,IF(F19="неделя",WeeksYear,0)))</f>
        <v/>
      </c>
      <c r="K19" s="19">
        <f>IF(N(E19)&gt;0,C19*D19/E19,C19*D19*J19)</f>
        <v/>
      </c>
      <c r="L19" s="19">
        <f>IF(G19=0,0,K19/G19)</f>
        <v/>
      </c>
      <c r="M19" s="19">
        <f>IF(L19=0,0,L19/MonthsYear)</f>
        <v/>
      </c>
    </row>
    <row r="20" ht="18" customHeight="1">
      <c r="A20" s="8" t="inlineStr">
        <is>
          <t>outer</t>
        </is>
      </c>
      <c r="B20" s="7" t="inlineStr">
        <is>
          <t>Куртка зимняя</t>
        </is>
      </c>
      <c r="C20" s="13" t="n">
        <v>2</v>
      </c>
      <c r="D20" s="16" t="n">
        <v>4292</v>
      </c>
      <c r="E20" s="13" t="n">
        <v>2</v>
      </c>
      <c r="F20" s="13" t="inlineStr"/>
      <c r="G20" s="15" t="n">
        <v>1</v>
      </c>
      <c r="H20" s="17" t="inlineStr">
        <is>
          <t>https://www.detmir.ru/product/index/id/7061634/</t>
        </is>
      </c>
      <c r="I20" s="8" t="inlineStr">
        <is>
          <t>amort</t>
        </is>
      </c>
      <c r="J20" s="18">
        <f>IF(F20="год",1,IF(F20="месяц",MonthsYear,IF(F20="неделя",WeeksYear,0)))</f>
        <v/>
      </c>
      <c r="K20" s="19">
        <f>IF(N(E20)&gt;0,C20*D20/E20,C20*D20*J20)</f>
        <v/>
      </c>
      <c r="L20" s="19">
        <f>IF(G20=0,0,K20/G20)</f>
        <v/>
      </c>
      <c r="M20" s="19">
        <f>IF(L20=0,0,L20/MonthsYear)</f>
        <v/>
      </c>
    </row>
    <row r="21" ht="18" customHeight="1">
      <c r="A21" s="8" t="inlineStr">
        <is>
          <t>outer</t>
        </is>
      </c>
      <c r="B21" s="7" t="inlineStr">
        <is>
          <t>Куртка осенняя</t>
        </is>
      </c>
      <c r="C21" s="13" t="n">
        <v>1</v>
      </c>
      <c r="D21" s="16" t="n">
        <v>2199</v>
      </c>
      <c r="E21" s="13" t="n">
        <v>2</v>
      </c>
      <c r="F21" s="13" t="inlineStr"/>
      <c r="G21" s="15" t="n">
        <v>1</v>
      </c>
      <c r="H21" s="17" t="inlineStr">
        <is>
          <t>https://www.wildberries.ru/brands/orby</t>
        </is>
      </c>
      <c r="I21" s="8" t="inlineStr">
        <is>
          <t>amort</t>
        </is>
      </c>
      <c r="J21" s="18">
        <f>IF(F21="год",1,IF(F21="месяц",MonthsYear,IF(F21="неделя",WeeksYear,0)))</f>
        <v/>
      </c>
      <c r="K21" s="19">
        <f>IF(N(E21)&gt;0,C21*D21/E21,C21*D21*J21)</f>
        <v/>
      </c>
      <c r="L21" s="19">
        <f>IF(G21=0,0,K21/G21)</f>
        <v/>
      </c>
      <c r="M21" s="19">
        <f>IF(L21=0,0,L21/MonthsYear)</f>
        <v/>
      </c>
    </row>
    <row r="22" ht="18" customHeight="1">
      <c r="A22" s="8" t="inlineStr">
        <is>
          <t>outer</t>
        </is>
      </c>
      <c r="B22" s="7" t="inlineStr">
        <is>
          <t>Куртка осенняя утеплённая</t>
        </is>
      </c>
      <c r="C22" s="13" t="n">
        <v>1</v>
      </c>
      <c r="D22" s="16" t="n">
        <v>2999</v>
      </c>
      <c r="E22" s="13" t="n">
        <v>2</v>
      </c>
      <c r="F22" s="13" t="inlineStr"/>
      <c r="G22" s="15" t="n">
        <v>1</v>
      </c>
      <c r="H22" s="17" t="inlineStr">
        <is>
          <t>https://www.detmir.ru/search/results/?qt=%D0%BA%D1%83%D1%80%D1%82%D0%BA%D0%B0%20%D0%BE%D1%81%D0%B5%D0%BD%D0%BD%D1%8F%D1%8F%20%D1%83%D1%82%D0%B5%D0%BF%D0%BB%D0%B5%D0%BD%D0%BD%D0%B0%D1%8F%20%D0%BC%D0%B0%D0%BB%D1%8C%D1%87%D0%B8%D0%BA</t>
        </is>
      </c>
      <c r="I22" s="8" t="inlineStr">
        <is>
          <t>amort</t>
        </is>
      </c>
      <c r="J22" s="18">
        <f>IF(F22="год",1,IF(F22="месяц",MonthsYear,IF(F22="неделя",WeeksYear,0)))</f>
        <v/>
      </c>
      <c r="K22" s="19">
        <f>IF(N(E22)&gt;0,C22*D22/E22,C22*D22*J22)</f>
        <v/>
      </c>
      <c r="L22" s="19">
        <f>IF(G22=0,0,K22/G22)</f>
        <v/>
      </c>
      <c r="M22" s="19">
        <f>IF(L22=0,0,L22/MonthsYear)</f>
        <v/>
      </c>
    </row>
    <row r="23" ht="18" customHeight="1">
      <c r="A23" s="8" t="inlineStr">
        <is>
          <t>outer</t>
        </is>
      </c>
      <c r="B23" s="7" t="inlineStr">
        <is>
          <t>Штаны утеплённые</t>
        </is>
      </c>
      <c r="C23" s="13" t="n">
        <v>1</v>
      </c>
      <c r="D23" s="16" t="n">
        <v>2499</v>
      </c>
      <c r="E23" s="13" t="n">
        <v>2</v>
      </c>
      <c r="F23" s="13" t="inlineStr"/>
      <c r="G23" s="15" t="n">
        <v>1</v>
      </c>
      <c r="H23" s="17" t="inlineStr">
        <is>
          <t>https://www.detmir.ru/search/results/?qt=%D1%88%D1%82%D0%B0%D0%BD%D1%8B%20%D1%83%D1%82%D0%B5%D0%BF%D0%BB%D0%B5%D0%BD%D0%BD%D1%8B%D0%B5</t>
        </is>
      </c>
      <c r="I23" s="8" t="inlineStr">
        <is>
          <t>amort</t>
        </is>
      </c>
      <c r="J23" s="18">
        <f>IF(F23="год",1,IF(F23="месяц",MonthsYear,IF(F23="неделя",WeeksYear,0)))</f>
        <v/>
      </c>
      <c r="K23" s="19">
        <f>IF(N(E23)&gt;0,C23*D23/E23,C23*D23*J23)</f>
        <v/>
      </c>
      <c r="L23" s="19">
        <f>IF(G23=0,0,K23/G23)</f>
        <v/>
      </c>
      <c r="M23" s="19">
        <f>IF(L23=0,0,L23/MonthsYear)</f>
        <v/>
      </c>
    </row>
    <row r="24" ht="18" customHeight="1">
      <c r="A24" s="8" t="inlineStr">
        <is>
          <t>room</t>
        </is>
      </c>
      <c r="B24" s="7" t="inlineStr">
        <is>
          <t>Вуаль / тюль</t>
        </is>
      </c>
      <c r="C24" s="13" t="n">
        <v>1</v>
      </c>
      <c r="D24" s="16" t="n">
        <v>1200</v>
      </c>
      <c r="E24" s="13" t="n">
        <v>5</v>
      </c>
      <c r="F24" s="13" t="inlineStr"/>
      <c r="G24" s="15" t="n">
        <v>1</v>
      </c>
      <c r="H24" s="17" t="inlineStr">
        <is>
          <t>https://leroymerlin.ru/catalogue/tyul/</t>
        </is>
      </c>
      <c r="I24" s="8" t="inlineStr">
        <is>
          <t>amort</t>
        </is>
      </c>
      <c r="J24" s="18">
        <f>IF(F24="год",1,IF(F24="месяц",MonthsYear,IF(F24="неделя",WeeksYear,0)))</f>
        <v/>
      </c>
      <c r="K24" s="19">
        <f>IF(N(E24)&gt;0,C24*D24/E24,C24*D24*J24)</f>
        <v/>
      </c>
      <c r="L24" s="19">
        <f>IF(G24=0,0,K24/G24)</f>
        <v/>
      </c>
      <c r="M24" s="19">
        <f>IF(L24=0,0,L24/MonthsYear)</f>
        <v/>
      </c>
    </row>
    <row r="25" ht="18" customHeight="1">
      <c r="A25" s="8" t="inlineStr">
        <is>
          <t>room</t>
        </is>
      </c>
      <c r="B25" s="7" t="inlineStr">
        <is>
          <t>Ковёр на пол</t>
        </is>
      </c>
      <c r="C25" s="13" t="n">
        <v>1</v>
      </c>
      <c r="D25" s="16" t="n">
        <v>4000</v>
      </c>
      <c r="E25" s="13" t="n">
        <v>5</v>
      </c>
      <c r="F25" s="13" t="inlineStr"/>
      <c r="G25" s="15" t="n">
        <v>1</v>
      </c>
      <c r="H25" s="17" t="inlineStr">
        <is>
          <t>https://leroymerlin.ru/catalogue/kovry/</t>
        </is>
      </c>
      <c r="I25" s="8" t="inlineStr">
        <is>
          <t>amort</t>
        </is>
      </c>
      <c r="J25" s="18">
        <f>IF(F25="год",1,IF(F25="месяц",MonthsYear,IF(F25="неделя",WeeksYear,0)))</f>
        <v/>
      </c>
      <c r="K25" s="19">
        <f>IF(N(E25)&gt;0,C25*D25/E25,C25*D25*J25)</f>
        <v/>
      </c>
      <c r="L25" s="19">
        <f>IF(G25=0,0,K25/G25)</f>
        <v/>
      </c>
      <c r="M25" s="19">
        <f>IF(L25=0,0,L25/MonthsYear)</f>
        <v/>
      </c>
    </row>
    <row r="26" ht="18" customHeight="1">
      <c r="A26" s="8" t="inlineStr">
        <is>
          <t>room</t>
        </is>
      </c>
      <c r="B26" s="7" t="inlineStr">
        <is>
          <t>Контейнер для игрушек</t>
        </is>
      </c>
      <c r="C26" s="13" t="n">
        <v>1</v>
      </c>
      <c r="D26" s="16" t="n">
        <v>2500</v>
      </c>
      <c r="E26" s="13" t="n">
        <v>3</v>
      </c>
      <c r="F26" s="13" t="inlineStr"/>
      <c r="G26" s="15" t="n">
        <v>1</v>
      </c>
      <c r="H26" s="17" t="inlineStr">
        <is>
          <t>https://www.detmir.ru/search/results/?qt=%D0%BA%D0%BE%D0%BD%D1%82%D0%B5%D0%B9%D0%BD%D0%B5%D1%80%20%D0%B4%D0%BB%D1%8F%20%D0%B8%D0%B3%D1%80%D1%83%D1%88%D0%B5%D0%BA</t>
        </is>
      </c>
      <c r="I26" s="8" t="inlineStr">
        <is>
          <t>amort</t>
        </is>
      </c>
      <c r="J26" s="18">
        <f>IF(F26="год",1,IF(F26="месяц",MonthsYear,IF(F26="неделя",WeeksYear,0)))</f>
        <v/>
      </c>
      <c r="K26" s="19">
        <f>IF(N(E26)&gt;0,C26*D26/E26,C26*D26*J26)</f>
        <v/>
      </c>
      <c r="L26" s="19">
        <f>IF(G26=0,0,K26/G26)</f>
        <v/>
      </c>
      <c r="M26" s="19">
        <f>IF(L26=0,0,L26/MonthsYear)</f>
        <v/>
      </c>
    </row>
    <row r="27" ht="18" customHeight="1">
      <c r="A27" s="8" t="inlineStr">
        <is>
          <t>room</t>
        </is>
      </c>
      <c r="B27" s="7" t="inlineStr">
        <is>
          <t>Кресло компьютерное</t>
        </is>
      </c>
      <c r="C27" s="13" t="n">
        <v>1</v>
      </c>
      <c r="D27" s="16" t="n">
        <v>4499</v>
      </c>
      <c r="E27" s="13" t="n">
        <v>5</v>
      </c>
      <c r="F27" s="13" t="inlineStr"/>
      <c r="G27" s="15" t="n">
        <v>1</v>
      </c>
      <c r="H27" s="17" t="inlineStr">
        <is>
          <t>https://www.detmir.ru/search/results/?qt=%D0%BA%D1%80%D0%B5%D1%81%D0%BB%D0%BE</t>
        </is>
      </c>
      <c r="I27" s="8" t="inlineStr">
        <is>
          <t>amort</t>
        </is>
      </c>
      <c r="J27" s="18">
        <f>IF(F27="год",1,IF(F27="месяц",MonthsYear,IF(F27="неделя",WeeksYear,0)))</f>
        <v/>
      </c>
      <c r="K27" s="19">
        <f>IF(N(E27)&gt;0,C27*D27/E27,C27*D27*J27)</f>
        <v/>
      </c>
      <c r="L27" s="19">
        <f>IF(G27=0,0,K27/G27)</f>
        <v/>
      </c>
      <c r="M27" s="19">
        <f>IF(L27=0,0,L27/MonthsYear)</f>
        <v/>
      </c>
    </row>
    <row r="28" ht="18" customHeight="1">
      <c r="A28" s="8" t="inlineStr">
        <is>
          <t>room</t>
        </is>
      </c>
      <c r="B28" s="7" t="inlineStr">
        <is>
          <t>Кресло-мешок</t>
        </is>
      </c>
      <c r="C28" s="13" t="n">
        <v>1</v>
      </c>
      <c r="D28" s="16" t="n">
        <v>5500</v>
      </c>
      <c r="E28" s="13" t="n">
        <v>3</v>
      </c>
      <c r="F28" s="13" t="inlineStr"/>
      <c r="G28" s="15" t="n">
        <v>1</v>
      </c>
      <c r="H28" s="17" t="inlineStr">
        <is>
          <t>https://www.detmir.ru/search/results/?qt=%D0%BA%D1%80%D0%B5%D1%81%D0%BB%D0%BE-%D0%BC%D0%B5%D1%88%D0%BE%D0%BA</t>
        </is>
      </c>
      <c r="I28" s="8" t="inlineStr">
        <is>
          <t>amort</t>
        </is>
      </c>
      <c r="J28" s="18">
        <f>IF(F28="год",1,IF(F28="месяц",MonthsYear,IF(F28="неделя",WeeksYear,0)))</f>
        <v/>
      </c>
      <c r="K28" s="19">
        <f>IF(N(E28)&gt;0,C28*D28/E28,C28*D28*J28)</f>
        <v/>
      </c>
      <c r="L28" s="19">
        <f>IF(G28=0,0,K28/G28)</f>
        <v/>
      </c>
      <c r="M28" s="19">
        <f>IF(L28=0,0,L28/MonthsYear)</f>
        <v/>
      </c>
    </row>
    <row r="29" ht="18" customHeight="1">
      <c r="A29" s="8" t="inlineStr">
        <is>
          <t>room</t>
        </is>
      </c>
      <c r="B29" s="7" t="inlineStr">
        <is>
          <t>Кровать-машинка</t>
        </is>
      </c>
      <c r="C29" s="13" t="n">
        <v>1</v>
      </c>
      <c r="D29" s="16" t="n">
        <v>30000</v>
      </c>
      <c r="E29" s="13" t="n">
        <v>3</v>
      </c>
      <c r="F29" s="13" t="inlineStr"/>
      <c r="G29" s="15" t="n">
        <v>1</v>
      </c>
      <c r="H29" s="17" t="inlineStr">
        <is>
          <t>https://www.avito.ru/</t>
        </is>
      </c>
      <c r="I29" s="8" t="inlineStr">
        <is>
          <t>amort</t>
        </is>
      </c>
      <c r="J29" s="18">
        <f>IF(F29="год",1,IF(F29="месяц",MonthsYear,IF(F29="неделя",WeeksYear,0)))</f>
        <v/>
      </c>
      <c r="K29" s="19">
        <f>IF(N(E29)&gt;0,C29*D29/E29,C29*D29*J29)</f>
        <v/>
      </c>
      <c r="L29" s="19">
        <f>IF(G29=0,0,K29/G29)</f>
        <v/>
      </c>
      <c r="M29" s="19">
        <f>IF(L29=0,0,L29/MonthsYear)</f>
        <v/>
      </c>
    </row>
    <row r="30" ht="18" customHeight="1">
      <c r="A30" s="8" t="inlineStr">
        <is>
          <t>room</t>
        </is>
      </c>
      <c r="B30" s="7" t="inlineStr">
        <is>
          <t>Матрас 80×180</t>
        </is>
      </c>
      <c r="C30" s="13" t="n">
        <v>1</v>
      </c>
      <c r="D30" s="16" t="n">
        <v>8000</v>
      </c>
      <c r="E30" s="13" t="n">
        <v>8</v>
      </c>
      <c r="F30" s="13" t="inlineStr"/>
      <c r="G30" s="15" t="n">
        <v>1</v>
      </c>
      <c r="H30" s="17" t="inlineStr">
        <is>
          <t>https://ormatek.com/catalog/matrasy/80x180/</t>
        </is>
      </c>
      <c r="I30" s="8" t="inlineStr">
        <is>
          <t>amort</t>
        </is>
      </c>
      <c r="J30" s="18">
        <f>IF(F30="год",1,IF(F30="месяц",MonthsYear,IF(F30="неделя",WeeksYear,0)))</f>
        <v/>
      </c>
      <c r="K30" s="19">
        <f>IF(N(E30)&gt;0,C30*D30/E30,C30*D30*J30)</f>
        <v/>
      </c>
      <c r="L30" s="19">
        <f>IF(G30=0,0,K30/G30)</f>
        <v/>
      </c>
      <c r="M30" s="19">
        <f>IF(L30=0,0,L30/MonthsYear)</f>
        <v/>
      </c>
    </row>
    <row r="31" ht="18" customHeight="1">
      <c r="A31" s="8" t="inlineStr">
        <is>
          <t>room</t>
        </is>
      </c>
      <c r="B31" s="7" t="inlineStr">
        <is>
          <t>Настольная лампа</t>
        </is>
      </c>
      <c r="C31" s="13" t="n">
        <v>1</v>
      </c>
      <c r="D31" s="16" t="n">
        <v>1299</v>
      </c>
      <c r="E31" s="13" t="n">
        <v>3</v>
      </c>
      <c r="F31" s="13" t="inlineStr"/>
      <c r="G31" s="15" t="n">
        <v>1</v>
      </c>
      <c r="H31" s="17" t="inlineStr">
        <is>
          <t>https://www.detmir.ru/search/results/?qt=%D0%BB%D0%B0%D0%BC%D0%BF%D0%B0</t>
        </is>
      </c>
      <c r="I31" s="8" t="inlineStr">
        <is>
          <t>amort</t>
        </is>
      </c>
      <c r="J31" s="18">
        <f>IF(F31="год",1,IF(F31="месяц",MonthsYear,IF(F31="неделя",WeeksYear,0)))</f>
        <v/>
      </c>
      <c r="K31" s="19">
        <f>IF(N(E31)&gt;0,C31*D31/E31,C31*D31*J31)</f>
        <v/>
      </c>
      <c r="L31" s="19">
        <f>IF(G31=0,0,K31/G31)</f>
        <v/>
      </c>
      <c r="M31" s="19">
        <f>IF(L31=0,0,L31/MonthsYear)</f>
        <v/>
      </c>
    </row>
    <row r="32" ht="18" customHeight="1">
      <c r="A32" s="8" t="inlineStr">
        <is>
          <t>room</t>
        </is>
      </c>
      <c r="B32" s="7" t="inlineStr">
        <is>
          <t>Ночник у кровати</t>
        </is>
      </c>
      <c r="C32" s="13" t="n">
        <v>1</v>
      </c>
      <c r="D32" s="16" t="n">
        <v>899</v>
      </c>
      <c r="E32" s="13" t="n">
        <v>3</v>
      </c>
      <c r="F32" s="13" t="inlineStr"/>
      <c r="G32" s="15" t="n">
        <v>1</v>
      </c>
      <c r="H32" s="17" t="inlineStr">
        <is>
          <t>https://www.detmir.ru/search/results/?qt=%D0%BD%D0%BE%D1%87%D0%BD%D0%B8%D0%BA</t>
        </is>
      </c>
      <c r="I32" s="8" t="inlineStr">
        <is>
          <t>amort</t>
        </is>
      </c>
      <c r="J32" s="18">
        <f>IF(F32="год",1,IF(F32="месяц",MonthsYear,IF(F32="неделя",WeeksYear,0)))</f>
        <v/>
      </c>
      <c r="K32" s="19">
        <f>IF(N(E32)&gt;0,C32*D32/E32,C32*D32*J32)</f>
        <v/>
      </c>
      <c r="L32" s="19">
        <f>IF(G32=0,0,K32/G32)</f>
        <v/>
      </c>
      <c r="M32" s="19">
        <f>IF(L32=0,0,L32/MonthsYear)</f>
        <v/>
      </c>
    </row>
    <row r="33" ht="18" customHeight="1">
      <c r="A33" s="8" t="inlineStr">
        <is>
          <t>room</t>
        </is>
      </c>
      <c r="B33" s="7" t="inlineStr">
        <is>
          <t>Одеяло</t>
        </is>
      </c>
      <c r="C33" s="13" t="n">
        <v>1</v>
      </c>
      <c r="D33" s="16" t="n">
        <v>1500</v>
      </c>
      <c r="E33" s="13" t="n">
        <v>3</v>
      </c>
      <c r="F33" s="13" t="inlineStr"/>
      <c r="G33" s="15" t="n">
        <v>1</v>
      </c>
      <c r="H33" s="17" t="inlineStr">
        <is>
          <t>https://www.detmir.ru/search/results/?qt=%D0%BE%D0%B4%D0%B5%D1%8F%D0%BB%D0%BE</t>
        </is>
      </c>
      <c r="I33" s="8" t="inlineStr">
        <is>
          <t>amort</t>
        </is>
      </c>
      <c r="J33" s="18">
        <f>IF(F33="год",1,IF(F33="месяц",MonthsYear,IF(F33="неделя",WeeksYear,0)))</f>
        <v/>
      </c>
      <c r="K33" s="19">
        <f>IF(N(E33)&gt;0,C33*D33/E33,C33*D33*J33)</f>
        <v/>
      </c>
      <c r="L33" s="19">
        <f>IF(G33=0,0,K33/G33)</f>
        <v/>
      </c>
      <c r="M33" s="19">
        <f>IF(L33=0,0,L33/MonthsYear)</f>
        <v/>
      </c>
    </row>
    <row r="34" ht="18" customHeight="1">
      <c r="A34" s="8" t="inlineStr">
        <is>
          <t>room</t>
        </is>
      </c>
      <c r="B34" s="7" t="inlineStr">
        <is>
          <t>Плед / покрывало</t>
        </is>
      </c>
      <c r="C34" s="13" t="n">
        <v>1</v>
      </c>
      <c r="D34" s="16" t="n">
        <v>1999</v>
      </c>
      <c r="E34" s="13" t="n">
        <v>3</v>
      </c>
      <c r="F34" s="13" t="inlineStr"/>
      <c r="G34" s="15" t="n">
        <v>1</v>
      </c>
      <c r="H34" s="17" t="inlineStr">
        <is>
          <t>https://www.detmir.ru/search/results/?qt=%D0%BF%D0%BB%D0%B5%D0%B4</t>
        </is>
      </c>
      <c r="I34" s="8" t="inlineStr">
        <is>
          <t>amort</t>
        </is>
      </c>
      <c r="J34" s="18">
        <f>IF(F34="год",1,IF(F34="месяц",MonthsYear,IF(F34="неделя",WeeksYear,0)))</f>
        <v/>
      </c>
      <c r="K34" s="19">
        <f>IF(N(E34)&gt;0,C34*D34/E34,C34*D34*J34)</f>
        <v/>
      </c>
      <c r="L34" s="19">
        <f>IF(G34=0,0,K34/G34)</f>
        <v/>
      </c>
      <c r="M34" s="19">
        <f>IF(L34=0,0,L34/MonthsYear)</f>
        <v/>
      </c>
    </row>
    <row r="35" ht="18" customHeight="1">
      <c r="A35" s="8" t="inlineStr">
        <is>
          <t>room</t>
        </is>
      </c>
      <c r="B35" s="7" t="inlineStr">
        <is>
          <t>Подушка</t>
        </is>
      </c>
      <c r="C35" s="13" t="n">
        <v>1</v>
      </c>
      <c r="D35" s="16" t="n">
        <v>800</v>
      </c>
      <c r="E35" s="13" t="n">
        <v>3</v>
      </c>
      <c r="F35" s="13" t="inlineStr"/>
      <c r="G35" s="15" t="n">
        <v>1</v>
      </c>
      <c r="H35" s="17" t="inlineStr">
        <is>
          <t>https://www.detmir.ru/search/results/?qt=%D0%BF%D0%BE%D0%B4%D1%83%D1%88%D0%BA%D0%B0</t>
        </is>
      </c>
      <c r="I35" s="8" t="inlineStr">
        <is>
          <t>amort</t>
        </is>
      </c>
      <c r="J35" s="18">
        <f>IF(F35="год",1,IF(F35="месяц",MonthsYear,IF(F35="неделя",WeeksYear,0)))</f>
        <v/>
      </c>
      <c r="K35" s="19">
        <f>IF(N(E35)&gt;0,C35*D35/E35,C35*D35*J35)</f>
        <v/>
      </c>
      <c r="L35" s="19">
        <f>IF(G35=0,0,K35/G35)</f>
        <v/>
      </c>
      <c r="M35" s="19">
        <f>IF(L35=0,0,L35/MonthsYear)</f>
        <v/>
      </c>
    </row>
    <row r="36" ht="18" customHeight="1">
      <c r="A36" s="8" t="inlineStr">
        <is>
          <t>room</t>
        </is>
      </c>
      <c r="B36" s="7" t="inlineStr">
        <is>
          <t>Подушка диванная</t>
        </is>
      </c>
      <c r="C36" s="13" t="n">
        <v>2</v>
      </c>
      <c r="D36" s="16" t="n">
        <v>599</v>
      </c>
      <c r="E36" s="13" t="n">
        <v>3</v>
      </c>
      <c r="F36" s="13" t="inlineStr"/>
      <c r="G36" s="15" t="n">
        <v>1</v>
      </c>
      <c r="H36" s="17" t="inlineStr">
        <is>
          <t>https://www.detmir.ru/search/results/?qt=%D0%BF%D0%BE%D0%B4%D1%83%D1%88%D0%BA%D0%B0%20%D0%B4%D0%B5%D0%BA%D0%BE%D1%80%D0%B0%D1%82%D0%B8%D0%B2%D0%BD%D0%B0%D1%8F</t>
        </is>
      </c>
      <c r="I36" s="8" t="inlineStr">
        <is>
          <t>amort</t>
        </is>
      </c>
      <c r="J36" s="18">
        <f>IF(F36="год",1,IF(F36="месяц",MonthsYear,IF(F36="неделя",WeeksYear,0)))</f>
        <v/>
      </c>
      <c r="K36" s="19">
        <f>IF(N(E36)&gt;0,C36*D36/E36,C36*D36*J36)</f>
        <v/>
      </c>
      <c r="L36" s="19">
        <f>IF(G36=0,0,K36/G36)</f>
        <v/>
      </c>
      <c r="M36" s="19">
        <f>IF(L36=0,0,L36/MonthsYear)</f>
        <v/>
      </c>
    </row>
    <row r="37" ht="18" customHeight="1">
      <c r="A37" s="8" t="inlineStr">
        <is>
          <t>room</t>
        </is>
      </c>
      <c r="B37" s="7" t="inlineStr">
        <is>
          <t>Постельное бельё</t>
        </is>
      </c>
      <c r="C37" s="13" t="n">
        <v>2</v>
      </c>
      <c r="D37" s="16" t="n">
        <v>1499</v>
      </c>
      <c r="E37" s="13" t="n">
        <v>2</v>
      </c>
      <c r="F37" s="13" t="inlineStr"/>
      <c r="G37" s="15" t="n">
        <v>1</v>
      </c>
      <c r="H37" s="17" t="inlineStr">
        <is>
          <t>https://www.detmir.ru/search/results/?qt=%D0%BF%D0%BE%D1%81%D1%82%D0%B5%D0%BB%D1%8C%D0%BD%D0%BE%D0%B5</t>
        </is>
      </c>
      <c r="I37" s="8" t="inlineStr">
        <is>
          <t>amort</t>
        </is>
      </c>
      <c r="J37" s="18">
        <f>IF(F37="год",1,IF(F37="месяц",MonthsYear,IF(F37="неделя",WeeksYear,0)))</f>
        <v/>
      </c>
      <c r="K37" s="19">
        <f>IF(N(E37)&gt;0,C37*D37/E37,C37*D37*J37)</f>
        <v/>
      </c>
      <c r="L37" s="19">
        <f>IF(G37=0,0,K37/G37)</f>
        <v/>
      </c>
      <c r="M37" s="19">
        <f>IF(L37=0,0,L37/MonthsYear)</f>
        <v/>
      </c>
    </row>
    <row r="38" ht="18" customHeight="1">
      <c r="A38" s="8" t="inlineStr">
        <is>
          <t>room</t>
        </is>
      </c>
      <c r="B38" s="7" t="inlineStr">
        <is>
          <t>Светильник потолочный</t>
        </is>
      </c>
      <c r="C38" s="13" t="n">
        <v>1</v>
      </c>
      <c r="D38" s="16" t="n">
        <v>6000</v>
      </c>
      <c r="E38" s="13" t="n">
        <v>7</v>
      </c>
      <c r="F38" s="13" t="inlineStr"/>
      <c r="G38" s="15" t="n">
        <v>1</v>
      </c>
      <c r="H38" s="17" t="inlineStr">
        <is>
          <t>https://leroymerlin.ru/catalogue/lyustry/</t>
        </is>
      </c>
      <c r="I38" s="8" t="inlineStr">
        <is>
          <t>amort</t>
        </is>
      </c>
      <c r="J38" s="18">
        <f>IF(F38="год",1,IF(F38="месяц",MonthsYear,IF(F38="неделя",WeeksYear,0)))</f>
        <v/>
      </c>
      <c r="K38" s="19">
        <f>IF(N(E38)&gt;0,C38*D38/E38,C38*D38*J38)</f>
        <v/>
      </c>
      <c r="L38" s="19">
        <f>IF(G38=0,0,K38/G38)</f>
        <v/>
      </c>
      <c r="M38" s="19">
        <f>IF(L38=0,0,L38/MonthsYear)</f>
        <v/>
      </c>
    </row>
    <row r="39" ht="18" customHeight="1">
      <c r="A39" s="8" t="inlineStr">
        <is>
          <t>room</t>
        </is>
      </c>
      <c r="B39" s="7" t="inlineStr">
        <is>
          <t>Стеллаж для книг</t>
        </is>
      </c>
      <c r="C39" s="13" t="n">
        <v>1</v>
      </c>
      <c r="D39" s="16" t="n">
        <v>4786</v>
      </c>
      <c r="E39" s="13" t="n">
        <v>5</v>
      </c>
      <c r="F39" s="13" t="inlineStr"/>
      <c r="G39" s="15" t="n">
        <v>1</v>
      </c>
      <c r="H39" s="17" t="inlineStr">
        <is>
          <t>https://www.detmir.ru/catalog/index/name/stellsjy/</t>
        </is>
      </c>
      <c r="I39" s="8" t="inlineStr">
        <is>
          <t>amort</t>
        </is>
      </c>
      <c r="J39" s="18">
        <f>IF(F39="год",1,IF(F39="месяц",MonthsYear,IF(F39="неделя",WeeksYear,0)))</f>
        <v/>
      </c>
      <c r="K39" s="19">
        <f>IF(N(E39)&gt;0,C39*D39/E39,C39*D39*J39)</f>
        <v/>
      </c>
      <c r="L39" s="19">
        <f>IF(G39=0,0,K39/G39)</f>
        <v/>
      </c>
      <c r="M39" s="19">
        <f>IF(L39=0,0,L39/MonthsYear)</f>
        <v/>
      </c>
    </row>
    <row r="40" ht="18" customHeight="1">
      <c r="A40" s="8" t="inlineStr">
        <is>
          <t>room</t>
        </is>
      </c>
      <c r="B40" s="7" t="inlineStr">
        <is>
          <t>Стол письменный</t>
        </is>
      </c>
      <c r="C40" s="13" t="n">
        <v>1</v>
      </c>
      <c r="D40" s="16" t="n">
        <v>15000</v>
      </c>
      <c r="E40" s="13" t="n">
        <v>5</v>
      </c>
      <c r="F40" s="13" t="inlineStr"/>
      <c r="G40" s="15" t="n">
        <v>1</v>
      </c>
      <c r="H40" s="17" t="inlineStr">
        <is>
          <t>https://www.detmir.ru/search/results/?qt=%D1%81%D1%82%D0%BE%D0%BB%20%D0%BF%D0%B8%D1%81%D1%8C%D0%BC%D0%B5%D0%BD%D0%BD%D1%8B%D0%B9</t>
        </is>
      </c>
      <c r="I40" s="8" t="inlineStr">
        <is>
          <t>amort</t>
        </is>
      </c>
      <c r="J40" s="18">
        <f>IF(F40="год",1,IF(F40="месяц",MonthsYear,IF(F40="неделя",WeeksYear,0)))</f>
        <v/>
      </c>
      <c r="K40" s="19">
        <f>IF(N(E40)&gt;0,C40*D40/E40,C40*D40*J40)</f>
        <v/>
      </c>
      <c r="L40" s="19">
        <f>IF(G40=0,0,K40/G40)</f>
        <v/>
      </c>
      <c r="M40" s="19">
        <f>IF(L40=0,0,L40/MonthsYear)</f>
        <v/>
      </c>
    </row>
    <row r="41" ht="18" customHeight="1">
      <c r="A41" s="8" t="inlineStr">
        <is>
          <t>room</t>
        </is>
      </c>
      <c r="B41" s="7" t="inlineStr">
        <is>
          <t>Шкаф для одежды</t>
        </is>
      </c>
      <c r="C41" s="13" t="n">
        <v>1</v>
      </c>
      <c r="D41" s="16" t="n">
        <v>17990</v>
      </c>
      <c r="E41" s="13" t="n">
        <v>7</v>
      </c>
      <c r="F41" s="13" t="inlineStr"/>
      <c r="G41" s="15" t="n">
        <v>1</v>
      </c>
      <c r="H41" s="17" t="inlineStr">
        <is>
          <t>https://leroymerlin.ru/search/?q=%D1%88%D0%BA%D0%B0%D1%84%20%D0%B4%D0%BB%D1%8F%20%D0%BE%D0%B4%D0%B5%D0%B6%D0%B4%D1%8B</t>
        </is>
      </c>
      <c r="I41" s="8" t="inlineStr">
        <is>
          <t>amort</t>
        </is>
      </c>
      <c r="J41" s="18">
        <f>IF(F41="год",1,IF(F41="месяц",MonthsYear,IF(F41="неделя",WeeksYear,0)))</f>
        <v/>
      </c>
      <c r="K41" s="19">
        <f>IF(N(E41)&gt;0,C41*D41/E41,C41*D41*J41)</f>
        <v/>
      </c>
      <c r="L41" s="19">
        <f>IF(G41=0,0,K41/G41)</f>
        <v/>
      </c>
      <c r="M41" s="19">
        <f>IF(L41=0,0,L41/MonthsYear)</f>
        <v/>
      </c>
    </row>
    <row r="42" ht="18" customHeight="1">
      <c r="A42" s="8" t="inlineStr">
        <is>
          <t>room</t>
        </is>
      </c>
      <c r="B42" s="7" t="inlineStr">
        <is>
          <t>Штора</t>
        </is>
      </c>
      <c r="C42" s="13" t="n">
        <v>2</v>
      </c>
      <c r="D42" s="16" t="n">
        <v>1200</v>
      </c>
      <c r="E42" s="13" t="n">
        <v>5</v>
      </c>
      <c r="F42" s="13" t="inlineStr"/>
      <c r="G42" s="15" t="n">
        <v>1</v>
      </c>
      <c r="H42" s="17" t="inlineStr">
        <is>
          <t>https://leroymerlin.ru/catalogue/shtory/</t>
        </is>
      </c>
      <c r="I42" s="8" t="inlineStr">
        <is>
          <t>amort</t>
        </is>
      </c>
      <c r="J42" s="18">
        <f>IF(F42="год",1,IF(F42="месяц",MonthsYear,IF(F42="неделя",WeeksYear,0)))</f>
        <v/>
      </c>
      <c r="K42" s="19">
        <f>IF(N(E42)&gt;0,C42*D42/E42,C42*D42*J42)</f>
        <v/>
      </c>
      <c r="L42" s="19">
        <f>IF(G42=0,0,K42/G42)</f>
        <v/>
      </c>
      <c r="M42" s="19">
        <f>IF(L42=0,0,L42/MonthsYear)</f>
        <v/>
      </c>
    </row>
    <row r="43" ht="18" customHeight="1">
      <c r="A43" s="8" t="inlineStr">
        <is>
          <t>equip</t>
        </is>
      </c>
      <c r="B43" s="7" t="inlineStr">
        <is>
          <t>Клавиатура</t>
        </is>
      </c>
      <c r="C43" s="13" t="n">
        <v>1</v>
      </c>
      <c r="D43" s="16" t="n">
        <v>1499</v>
      </c>
      <c r="E43" s="13" t="n">
        <v>4</v>
      </c>
      <c r="F43" s="13" t="inlineStr"/>
      <c r="G43" s="15" t="n">
        <v>1</v>
      </c>
      <c r="H43" s="17" t="inlineStr">
        <is>
          <t>https://www.dns-shop.ru/catalog/17a8a40216404e77/klaviatury/</t>
        </is>
      </c>
      <c r="I43" s="8" t="inlineStr">
        <is>
          <t>amort</t>
        </is>
      </c>
      <c r="J43" s="18">
        <f>IF(F43="год",1,IF(F43="месяц",MonthsYear,IF(F43="неделя",WeeksYear,0)))</f>
        <v/>
      </c>
      <c r="K43" s="19">
        <f>IF(N(E43)&gt;0,C43*D43/E43,C43*D43*J43)</f>
        <v/>
      </c>
      <c r="L43" s="19">
        <f>IF(G43=0,0,K43/G43)</f>
        <v/>
      </c>
      <c r="M43" s="19">
        <f>IF(L43=0,0,L43/MonthsYear)</f>
        <v/>
      </c>
    </row>
    <row r="44" ht="18" customHeight="1">
      <c r="A44" s="8" t="inlineStr">
        <is>
          <t>equip</t>
        </is>
      </c>
      <c r="B44" s="7" t="inlineStr">
        <is>
          <t>Коврик для мыши</t>
        </is>
      </c>
      <c r="C44" s="13" t="n">
        <v>1</v>
      </c>
      <c r="D44" s="16" t="n">
        <v>299</v>
      </c>
      <c r="E44" s="13" t="n">
        <v>2</v>
      </c>
      <c r="F44" s="13" t="inlineStr"/>
      <c r="G44" s="15" t="n">
        <v>1</v>
      </c>
      <c r="H44" s="17" t="inlineStr">
        <is>
          <t>https://www.dns-shop.ru/catalog/17a9f9e316404e77/kovriki-dlya-myshi/</t>
        </is>
      </c>
      <c r="I44" s="8" t="inlineStr">
        <is>
          <t>amort</t>
        </is>
      </c>
      <c r="J44" s="18">
        <f>IF(F44="год",1,IF(F44="месяц",MonthsYear,IF(F44="неделя",WeeksYear,0)))</f>
        <v/>
      </c>
      <c r="K44" s="19">
        <f>IF(N(E44)&gt;0,C44*D44/E44,C44*D44*J44)</f>
        <v/>
      </c>
      <c r="L44" s="19">
        <f>IF(G44=0,0,K44/G44)</f>
        <v/>
      </c>
      <c r="M44" s="19">
        <f>IF(L44=0,0,L44/MonthsYear)</f>
        <v/>
      </c>
    </row>
    <row r="45" ht="18" customHeight="1">
      <c r="A45" s="8" t="inlineStr">
        <is>
          <t>equip</t>
        </is>
      </c>
      <c r="B45" s="7" t="inlineStr">
        <is>
          <t>Колонки</t>
        </is>
      </c>
      <c r="C45" s="13" t="n">
        <v>1</v>
      </c>
      <c r="D45" s="16" t="n">
        <v>1499</v>
      </c>
      <c r="E45" s="13" t="n">
        <v>4</v>
      </c>
      <c r="F45" s="13" t="inlineStr"/>
      <c r="G45" s="15" t="n">
        <v>1</v>
      </c>
      <c r="H45" s="17" t="inlineStr">
        <is>
          <t>https://www.dns-shop.ru/catalog/17a8914916404e77/kompyuternaya-akustika/</t>
        </is>
      </c>
      <c r="I45" s="8" t="inlineStr">
        <is>
          <t>amort</t>
        </is>
      </c>
      <c r="J45" s="18">
        <f>IF(F45="год",1,IF(F45="месяц",MonthsYear,IF(F45="неделя",WeeksYear,0)))</f>
        <v/>
      </c>
      <c r="K45" s="19">
        <f>IF(N(E45)&gt;0,C45*D45/E45,C45*D45*J45)</f>
        <v/>
      </c>
      <c r="L45" s="19">
        <f>IF(G45=0,0,K45/G45)</f>
        <v/>
      </c>
      <c r="M45" s="19">
        <f>IF(L45=0,0,L45/MonthsYear)</f>
        <v/>
      </c>
    </row>
    <row r="46" ht="18" customHeight="1">
      <c r="A46" s="8" t="inlineStr">
        <is>
          <t>equip</t>
        </is>
      </c>
      <c r="B46" s="7" t="inlineStr">
        <is>
          <t>Микрофон</t>
        </is>
      </c>
      <c r="C46" s="13" t="n">
        <v>1</v>
      </c>
      <c r="D46" s="16" t="n">
        <v>1299</v>
      </c>
      <c r="E46" s="13" t="n">
        <v>4</v>
      </c>
      <c r="F46" s="13" t="inlineStr"/>
      <c r="G46" s="15" t="n">
        <v>1</v>
      </c>
      <c r="H46" s="17" t="inlineStr">
        <is>
          <t>https://www.dns-shop.ru/catalog/17a89bdd16404e77/mikrofoni/</t>
        </is>
      </c>
      <c r="I46" s="8" t="inlineStr">
        <is>
          <t>amort</t>
        </is>
      </c>
      <c r="J46" s="18">
        <f>IF(F46="год",1,IF(F46="месяц",MonthsYear,IF(F46="неделя",WeeksYear,0)))</f>
        <v/>
      </c>
      <c r="K46" s="19">
        <f>IF(N(E46)&gt;0,C46*D46/E46,C46*D46*J46)</f>
        <v/>
      </c>
      <c r="L46" s="19">
        <f>IF(G46=0,0,K46/G46)</f>
        <v/>
      </c>
      <c r="M46" s="19">
        <f>IF(L46=0,0,L46/MonthsYear)</f>
        <v/>
      </c>
    </row>
    <row r="47" ht="18" customHeight="1">
      <c r="A47" s="8" t="inlineStr">
        <is>
          <t>equip</t>
        </is>
      </c>
      <c r="B47" s="7" t="inlineStr">
        <is>
          <t>Монитор</t>
        </is>
      </c>
      <c r="C47" s="13" t="n">
        <v>1</v>
      </c>
      <c r="D47" s="16" t="n">
        <v>8999</v>
      </c>
      <c r="E47" s="13" t="n">
        <v>4</v>
      </c>
      <c r="F47" s="13" t="inlineStr"/>
      <c r="G47" s="15" t="n">
        <v>1</v>
      </c>
      <c r="H47" s="17" t="inlineStr">
        <is>
          <t>https://www.dns-shop.ru/catalog/17a8943716404e77/monitory/</t>
        </is>
      </c>
      <c r="I47" s="8" t="inlineStr">
        <is>
          <t>amort</t>
        </is>
      </c>
      <c r="J47" s="18">
        <f>IF(F47="год",1,IF(F47="месяц",MonthsYear,IF(F47="неделя",WeeksYear,0)))</f>
        <v/>
      </c>
      <c r="K47" s="19">
        <f>IF(N(E47)&gt;0,C47*D47/E47,C47*D47*J47)</f>
        <v/>
      </c>
      <c r="L47" s="19">
        <f>IF(G47=0,0,K47/G47)</f>
        <v/>
      </c>
      <c r="M47" s="19">
        <f>IF(L47=0,0,L47/MonthsYear)</f>
        <v/>
      </c>
    </row>
    <row r="48" ht="18" customHeight="1">
      <c r="A48" s="8" t="inlineStr">
        <is>
          <t>equip</t>
        </is>
      </c>
      <c r="B48" s="7" t="inlineStr">
        <is>
          <t>Мышь</t>
        </is>
      </c>
      <c r="C48" s="13" t="n">
        <v>1</v>
      </c>
      <c r="D48" s="16" t="n">
        <v>799</v>
      </c>
      <c r="E48" s="13" t="n">
        <v>4</v>
      </c>
      <c r="F48" s="13" t="inlineStr"/>
      <c r="G48" s="15" t="n">
        <v>1</v>
      </c>
      <c r="H48" s="17" t="inlineStr">
        <is>
          <t>https://www.dns-shop.ru/catalog/17a8a4d816404e77/myshi/</t>
        </is>
      </c>
      <c r="I48" s="8" t="inlineStr">
        <is>
          <t>amort</t>
        </is>
      </c>
      <c r="J48" s="18">
        <f>IF(F48="год",1,IF(F48="месяц",MonthsYear,IF(F48="неделя",WeeksYear,0)))</f>
        <v/>
      </c>
      <c r="K48" s="19">
        <f>IF(N(E48)&gt;0,C48*D48/E48,C48*D48*J48)</f>
        <v/>
      </c>
      <c r="L48" s="19">
        <f>IF(G48=0,0,K48/G48)</f>
        <v/>
      </c>
      <c r="M48" s="19">
        <f>IF(L48=0,0,L48/MonthsYear)</f>
        <v/>
      </c>
    </row>
    <row r="49" ht="18" customHeight="1">
      <c r="A49" s="8" t="inlineStr">
        <is>
          <t>equip</t>
        </is>
      </c>
      <c r="B49" s="7" t="inlineStr">
        <is>
          <t>Наушники</t>
        </is>
      </c>
      <c r="C49" s="13" t="n">
        <v>1</v>
      </c>
      <c r="D49" s="16" t="n">
        <v>1999</v>
      </c>
      <c r="E49" s="13" t="n">
        <v>4</v>
      </c>
      <c r="F49" s="13" t="inlineStr"/>
      <c r="G49" s="15" t="n">
        <v>1</v>
      </c>
      <c r="H49" s="17" t="inlineStr">
        <is>
          <t>https://www.detmir.ru/search/results/?qt=%D0%BD%D0%B0%D1%83%D1%88%D0%BD%D0%B8%D0%BA%D0%B8</t>
        </is>
      </c>
      <c r="I49" s="8" t="inlineStr">
        <is>
          <t>amort</t>
        </is>
      </c>
      <c r="J49" s="18">
        <f>IF(F49="год",1,IF(F49="месяц",MonthsYear,IF(F49="неделя",WeeksYear,0)))</f>
        <v/>
      </c>
      <c r="K49" s="19">
        <f>IF(N(E49)&gt;0,C49*D49/E49,C49*D49*J49)</f>
        <v/>
      </c>
      <c r="L49" s="19">
        <f>IF(G49=0,0,K49/G49)</f>
        <v/>
      </c>
      <c r="M49" s="19">
        <f>IF(L49=0,0,L49/MonthsYear)</f>
        <v/>
      </c>
    </row>
    <row r="50" ht="18" customHeight="1">
      <c r="A50" s="8" t="inlineStr">
        <is>
          <t>equip</t>
        </is>
      </c>
      <c r="B50" s="7" t="inlineStr">
        <is>
          <t>Системный блок</t>
        </is>
      </c>
      <c r="C50" s="13" t="n">
        <v>1</v>
      </c>
      <c r="D50" s="16" t="n">
        <v>23000</v>
      </c>
      <c r="E50" s="13" t="n">
        <v>4</v>
      </c>
      <c r="F50" s="13" t="inlineStr"/>
      <c r="G50" s="15" t="n">
        <v>1</v>
      </c>
      <c r="H50" s="17" t="inlineStr">
        <is>
          <t>https://www.avito.ru/</t>
        </is>
      </c>
      <c r="I50" s="8" t="inlineStr">
        <is>
          <t>amort</t>
        </is>
      </c>
      <c r="J50" s="18">
        <f>IF(F50="год",1,IF(F50="месяц",MonthsYear,IF(F50="неделя",WeeksYear,0)))</f>
        <v/>
      </c>
      <c r="K50" s="19">
        <f>IF(N(E50)&gt;0,C50*D50/E50,C50*D50*J50)</f>
        <v/>
      </c>
      <c r="L50" s="19">
        <f>IF(G50=0,0,K50/G50)</f>
        <v/>
      </c>
      <c r="M50" s="19">
        <f>IF(L50=0,0,L50/MonthsYear)</f>
        <v/>
      </c>
    </row>
    <row r="51" ht="18" customHeight="1">
      <c r="A51" s="8" t="inlineStr">
        <is>
          <t>equip</t>
        </is>
      </c>
      <c r="B51" s="7" t="inlineStr">
        <is>
          <t>Смартфон</t>
        </is>
      </c>
      <c r="C51" s="13" t="n">
        <v>1</v>
      </c>
      <c r="D51" s="16" t="n">
        <v>5000</v>
      </c>
      <c r="E51" s="13" t="n">
        <v>1</v>
      </c>
      <c r="F51" s="13" t="inlineStr"/>
      <c r="G51" s="15" t="n">
        <v>1</v>
      </c>
      <c r="H51" s="17" t="inlineStr">
        <is>
          <t>https://www.avito.ru/</t>
        </is>
      </c>
      <c r="I51" s="8" t="inlineStr">
        <is>
          <t>amort</t>
        </is>
      </c>
      <c r="J51" s="18">
        <f>IF(F51="год",1,IF(F51="месяц",MonthsYear,IF(F51="неделя",WeeksYear,0)))</f>
        <v/>
      </c>
      <c r="K51" s="19">
        <f>IF(N(E51)&gt;0,C51*D51/E51,C51*D51*J51)</f>
        <v/>
      </c>
      <c r="L51" s="19">
        <f>IF(G51=0,0,K51/G51)</f>
        <v/>
      </c>
      <c r="M51" s="19">
        <f>IF(L51=0,0,L51/MonthsYear)</f>
        <v/>
      </c>
    </row>
    <row r="52" ht="18" customHeight="1">
      <c r="A52" s="8" t="inlineStr">
        <is>
          <t>shoes</t>
        </is>
      </c>
      <c r="B52" s="7" t="inlineStr">
        <is>
          <t>Ботинки зимние</t>
        </is>
      </c>
      <c r="C52" s="13" t="n">
        <v>1</v>
      </c>
      <c r="D52" s="16" t="n">
        <v>3999</v>
      </c>
      <c r="E52" s="13" t="n">
        <v>1</v>
      </c>
      <c r="F52" s="13" t="inlineStr"/>
      <c r="G52" s="15" t="n">
        <v>1</v>
      </c>
      <c r="H52" s="17" t="inlineStr">
        <is>
          <t>https://www.detmir.ru/catalog/index/name/botinki_m/sezon_oio-zima/</t>
        </is>
      </c>
      <c r="I52" s="8" t="inlineStr">
        <is>
          <t>amort</t>
        </is>
      </c>
      <c r="J52" s="18">
        <f>IF(F52="год",1,IF(F52="месяц",MonthsYear,IF(F52="неделя",WeeksYear,0)))</f>
        <v/>
      </c>
      <c r="K52" s="19">
        <f>IF(N(E52)&gt;0,C52*D52/E52,C52*D52*J52)</f>
        <v/>
      </c>
      <c r="L52" s="19">
        <f>IF(G52=0,0,K52/G52)</f>
        <v/>
      </c>
      <c r="M52" s="19">
        <f>IF(L52=0,0,L52/MonthsYear)</f>
        <v/>
      </c>
    </row>
    <row r="53" ht="18" customHeight="1">
      <c r="A53" s="8" t="inlineStr">
        <is>
          <t>shoes</t>
        </is>
      </c>
      <c r="B53" s="7" t="inlineStr">
        <is>
          <t>Ботинки осенние утеплённые</t>
        </is>
      </c>
      <c r="C53" s="13" t="n">
        <v>1</v>
      </c>
      <c r="D53" s="16" t="n">
        <v>2999</v>
      </c>
      <c r="E53" s="13" t="n">
        <v>1</v>
      </c>
      <c r="F53" s="13" t="inlineStr"/>
      <c r="G53" s="15" t="n">
        <v>1</v>
      </c>
      <c r="H53" s="17" t="inlineStr">
        <is>
          <t>https://www.detmir.ru/catalog/index/name/botinki_m/sezon_oio-demisezon/</t>
        </is>
      </c>
      <c r="I53" s="8" t="inlineStr">
        <is>
          <t>amort</t>
        </is>
      </c>
      <c r="J53" s="18">
        <f>IF(F53="год",1,IF(F53="месяц",MonthsYear,IF(F53="неделя",WeeksYear,0)))</f>
        <v/>
      </c>
      <c r="K53" s="19">
        <f>IF(N(E53)&gt;0,C53*D53/E53,C53*D53*J53)</f>
        <v/>
      </c>
      <c r="L53" s="19">
        <f>IF(G53=0,0,K53/G53)</f>
        <v/>
      </c>
      <c r="M53" s="19">
        <f>IF(L53=0,0,L53/MonthsYear)</f>
        <v/>
      </c>
    </row>
    <row r="54" ht="18" customHeight="1">
      <c r="A54" s="8" t="inlineStr">
        <is>
          <t>shoes</t>
        </is>
      </c>
      <c r="B54" s="7" t="inlineStr">
        <is>
          <t>Сандалии летние</t>
        </is>
      </c>
      <c r="C54" s="13" t="n">
        <v>1</v>
      </c>
      <c r="D54" s="16" t="n">
        <v>999</v>
      </c>
      <c r="E54" s="13" t="n">
        <v>1</v>
      </c>
      <c r="F54" s="13" t="inlineStr"/>
      <c r="G54" s="15" t="n">
        <v>1</v>
      </c>
      <c r="H54" s="17" t="inlineStr">
        <is>
          <t>https://www.detmir.ru/catalog/index/name/shoes_for_boys/brand/4112/</t>
        </is>
      </c>
      <c r="I54" s="8" t="inlineStr">
        <is>
          <t>amort</t>
        </is>
      </c>
      <c r="J54" s="18">
        <f>IF(F54="год",1,IF(F54="месяц",MonthsYear,IF(F54="неделя",WeeksYear,0)))</f>
        <v/>
      </c>
      <c r="K54" s="19">
        <f>IF(N(E54)&gt;0,C54*D54/E54,C54*D54*J54)</f>
        <v/>
      </c>
      <c r="L54" s="19">
        <f>IF(G54=0,0,K54/G54)</f>
        <v/>
      </c>
      <c r="M54" s="19">
        <f>IF(L54=0,0,L54/MonthsYear)</f>
        <v/>
      </c>
    </row>
    <row r="55" ht="18" customHeight="1">
      <c r="A55" s="8" t="inlineStr">
        <is>
          <t>shoes</t>
        </is>
      </c>
      <c r="B55" s="7" t="inlineStr">
        <is>
          <t>Сланцы летние</t>
        </is>
      </c>
      <c r="C55" s="13" t="n">
        <v>1</v>
      </c>
      <c r="D55" s="16" t="n">
        <v>499</v>
      </c>
      <c r="E55" s="13" t="n">
        <v>1</v>
      </c>
      <c r="F55" s="13" t="inlineStr"/>
      <c r="G55" s="15" t="n">
        <v>1</v>
      </c>
      <c r="H55" s="17" t="inlineStr">
        <is>
          <t>https://www.detmir.ru/search/results/?qt=%D1%81%D0%BB%D0%B0%D0%BD%D1%86%D1%8B</t>
        </is>
      </c>
      <c r="I55" s="8" t="inlineStr">
        <is>
          <t>amort</t>
        </is>
      </c>
      <c r="J55" s="18">
        <f>IF(F55="год",1,IF(F55="месяц",MonthsYear,IF(F55="неделя",WeeksYear,0)))</f>
        <v/>
      </c>
      <c r="K55" s="19">
        <f>IF(N(E55)&gt;0,C55*D55/E55,C55*D55*J55)</f>
        <v/>
      </c>
      <c r="L55" s="19">
        <f>IF(G55=0,0,K55/G55)</f>
        <v/>
      </c>
      <c r="M55" s="19">
        <f>IF(L55=0,0,L55/MonthsYear)</f>
        <v/>
      </c>
    </row>
    <row r="56" ht="18" customHeight="1">
      <c r="A56" s="8" t="inlineStr">
        <is>
          <t>shoes</t>
        </is>
      </c>
      <c r="B56" s="7" t="inlineStr">
        <is>
          <t>Тапочки домашние</t>
        </is>
      </c>
      <c r="C56" s="13" t="n">
        <v>1</v>
      </c>
      <c r="D56" s="16" t="n">
        <v>599</v>
      </c>
      <c r="E56" s="13" t="n">
        <v>1</v>
      </c>
      <c r="F56" s="13" t="inlineStr"/>
      <c r="G56" s="15" t="n">
        <v>1</v>
      </c>
      <c r="H56" s="17" t="inlineStr">
        <is>
          <t>https://www.detmir.ru/search/results/?qt=%D1%82%D0%B0%D0%BF%D0%BE%D1%87%D0%BA%D0%B8</t>
        </is>
      </c>
      <c r="I56" s="8" t="inlineStr">
        <is>
          <t>amort</t>
        </is>
      </c>
      <c r="J56" s="18">
        <f>IF(F56="год",1,IF(F56="месяц",MonthsYear,IF(F56="неделя",WeeksYear,0)))</f>
        <v/>
      </c>
      <c r="K56" s="19">
        <f>IF(N(E56)&gt;0,C56*D56/E56,C56*D56*J56)</f>
        <v/>
      </c>
      <c r="L56" s="19">
        <f>IF(G56=0,0,K56/G56)</f>
        <v/>
      </c>
      <c r="M56" s="19">
        <f>IF(L56=0,0,L56/MonthsYear)</f>
        <v/>
      </c>
    </row>
    <row r="57" ht="18" customHeight="1">
      <c r="A57" s="8" t="inlineStr">
        <is>
          <t>layer2</t>
        </is>
      </c>
      <c r="B57" s="7" t="inlineStr">
        <is>
          <t>Джинсы</t>
        </is>
      </c>
      <c r="C57" s="13" t="n">
        <v>2</v>
      </c>
      <c r="D57" s="16" t="n">
        <v>799</v>
      </c>
      <c r="E57" s="13" t="n">
        <v>2</v>
      </c>
      <c r="F57" s="13" t="inlineStr"/>
      <c r="G57" s="15" t="n">
        <v>1</v>
      </c>
      <c r="H57" s="17" t="inlineStr">
        <is>
          <t>https://www.detmir.ru/catalog/index/name/detskaya_odezhda/brand/4112/</t>
        </is>
      </c>
      <c r="I57" s="8" t="inlineStr">
        <is>
          <t>amort</t>
        </is>
      </c>
      <c r="J57" s="18">
        <f>IF(F57="год",1,IF(F57="месяц",MonthsYear,IF(F57="неделя",WeeksYear,0)))</f>
        <v/>
      </c>
      <c r="K57" s="19">
        <f>IF(N(E57)&gt;0,C57*D57/E57,C57*D57*J57)</f>
        <v/>
      </c>
      <c r="L57" s="19">
        <f>IF(G57=0,0,K57/G57)</f>
        <v/>
      </c>
      <c r="M57" s="19">
        <f>IF(L57=0,0,L57/MonthsYear)</f>
        <v/>
      </c>
    </row>
    <row r="58" ht="18" customHeight="1">
      <c r="A58" s="8" t="inlineStr">
        <is>
          <t>layer2</t>
        </is>
      </c>
      <c r="B58" s="7" t="inlineStr">
        <is>
          <t>Домашний костюм</t>
        </is>
      </c>
      <c r="C58" s="13" t="n">
        <v>2</v>
      </c>
      <c r="D58" s="16" t="n">
        <v>1499</v>
      </c>
      <c r="E58" s="13" t="n">
        <v>2</v>
      </c>
      <c r="F58" s="13" t="inlineStr"/>
      <c r="G58" s="15" t="n">
        <v>1</v>
      </c>
      <c r="H58" s="17" t="inlineStr">
        <is>
          <t>https://www.detmir.ru/search/results/?qt=%D0%B4%D0%BE%D0%BC%D0%B0%D1%88%D0%BD%D0%B8%D0%B9%20%D0%BA%D0%BE%D1%81%D1%82%D1%8E%D0%BC</t>
        </is>
      </c>
      <c r="I58" s="8" t="inlineStr">
        <is>
          <t>amort</t>
        </is>
      </c>
      <c r="J58" s="18">
        <f>IF(F58="год",1,IF(F58="месяц",MonthsYear,IF(F58="неделя",WeeksYear,0)))</f>
        <v/>
      </c>
      <c r="K58" s="19">
        <f>IF(N(E58)&gt;0,C58*D58/E58,C58*D58*J58)</f>
        <v/>
      </c>
      <c r="L58" s="19">
        <f>IF(G58=0,0,K58/G58)</f>
        <v/>
      </c>
      <c r="M58" s="19">
        <f>IF(L58=0,0,L58/MonthsYear)</f>
        <v/>
      </c>
    </row>
    <row r="59" ht="18" customHeight="1">
      <c r="A59" s="8" t="inlineStr">
        <is>
          <t>layer2</t>
        </is>
      </c>
      <c r="B59" s="7" t="inlineStr">
        <is>
          <t>Свитер</t>
        </is>
      </c>
      <c r="C59" s="13" t="n">
        <v>2</v>
      </c>
      <c r="D59" s="16" t="n">
        <v>1199</v>
      </c>
      <c r="E59" s="13" t="n">
        <v>2</v>
      </c>
      <c r="F59" s="13" t="inlineStr"/>
      <c r="G59" s="15" t="n">
        <v>1</v>
      </c>
      <c r="H59" s="17" t="inlineStr">
        <is>
          <t>https://www.detmir.ru/search/results/?qt=%D1%81%D0%B2%D0%B8%D1%82%D0%B5%D1%80</t>
        </is>
      </c>
      <c r="I59" s="8" t="inlineStr">
        <is>
          <t>amort</t>
        </is>
      </c>
      <c r="J59" s="18">
        <f>IF(F59="год",1,IF(F59="месяц",MonthsYear,IF(F59="неделя",WeeksYear,0)))</f>
        <v/>
      </c>
      <c r="K59" s="19">
        <f>IF(N(E59)&gt;0,C59*D59/E59,C59*D59*J59)</f>
        <v/>
      </c>
      <c r="L59" s="19">
        <f>IF(G59=0,0,K59/G59)</f>
        <v/>
      </c>
      <c r="M59" s="19">
        <f>IF(L59=0,0,L59/MonthsYear)</f>
        <v/>
      </c>
    </row>
    <row r="60" ht="18" customHeight="1">
      <c r="A60" s="8" t="inlineStr">
        <is>
          <t>layer2</t>
        </is>
      </c>
      <c r="B60" s="7" t="inlineStr">
        <is>
          <t>Футболка</t>
        </is>
      </c>
      <c r="C60" s="13" t="n">
        <v>2</v>
      </c>
      <c r="D60" s="16" t="n">
        <v>599</v>
      </c>
      <c r="E60" s="13" t="n">
        <v>1</v>
      </c>
      <c r="F60" s="13" t="inlineStr"/>
      <c r="G60" s="15" t="n">
        <v>1</v>
      </c>
      <c r="H60" s="17" t="inlineStr">
        <is>
          <t>https://www.wildberries.ru/brands/playtoday</t>
        </is>
      </c>
      <c r="I60" s="8" t="inlineStr">
        <is>
          <t>amort</t>
        </is>
      </c>
      <c r="J60" s="18">
        <f>IF(F60="год",1,IF(F60="месяц",MonthsYear,IF(F60="неделя",WeeksYear,0)))</f>
        <v/>
      </c>
      <c r="K60" s="19">
        <f>IF(N(E60)&gt;0,C60*D60/E60,C60*D60*J60)</f>
        <v/>
      </c>
      <c r="L60" s="19">
        <f>IF(G60=0,0,K60/G60)</f>
        <v/>
      </c>
      <c r="M60" s="19">
        <f>IF(L60=0,0,L60/MonthsYear)</f>
        <v/>
      </c>
    </row>
    <row r="61" ht="18" customHeight="1">
      <c r="A61" s="8" t="inlineStr">
        <is>
          <t>layer2</t>
        </is>
      </c>
      <c r="B61" s="7" t="inlineStr">
        <is>
          <t>Худи</t>
        </is>
      </c>
      <c r="C61" s="13" t="n">
        <v>2</v>
      </c>
      <c r="D61" s="16" t="n">
        <v>1799</v>
      </c>
      <c r="E61" s="13" t="n">
        <v>2</v>
      </c>
      <c r="F61" s="13" t="inlineStr"/>
      <c r="G61" s="15" t="n">
        <v>1</v>
      </c>
      <c r="H61" s="17" t="inlineStr">
        <is>
          <t>https://www.wildberries.ru/brands/playtoday</t>
        </is>
      </c>
      <c r="I61" s="8" t="inlineStr">
        <is>
          <t>amort</t>
        </is>
      </c>
      <c r="J61" s="18">
        <f>IF(F61="год",1,IF(F61="месяц",MonthsYear,IF(F61="неделя",WeeksYear,0)))</f>
        <v/>
      </c>
      <c r="K61" s="19">
        <f>IF(N(E61)&gt;0,C61*D61/E61,C61*D61*J61)</f>
        <v/>
      </c>
      <c r="L61" s="19">
        <f>IF(G61=0,0,K61/G61)</f>
        <v/>
      </c>
      <c r="M61" s="19">
        <f>IF(L61=0,0,L61/MonthsYear)</f>
        <v/>
      </c>
    </row>
    <row r="62" ht="18" customHeight="1">
      <c r="A62" s="8" t="inlineStr">
        <is>
          <t>layer2</t>
        </is>
      </c>
      <c r="B62" s="7" t="inlineStr">
        <is>
          <t>Шорты летние</t>
        </is>
      </c>
      <c r="C62" s="13" t="n">
        <v>2</v>
      </c>
      <c r="D62" s="16" t="n">
        <v>899</v>
      </c>
      <c r="E62" s="13" t="n">
        <v>1</v>
      </c>
      <c r="F62" s="13" t="inlineStr"/>
      <c r="G62" s="15" t="n">
        <v>1</v>
      </c>
      <c r="H62" s="17" t="inlineStr">
        <is>
          <t>https://www.wildberries.ru/brands/playtoday</t>
        </is>
      </c>
      <c r="I62" s="8" t="inlineStr">
        <is>
          <t>amort</t>
        </is>
      </c>
      <c r="J62" s="18">
        <f>IF(F62="год",1,IF(F62="месяц",MonthsYear,IF(F62="неделя",WeeksYear,0)))</f>
        <v/>
      </c>
      <c r="K62" s="19">
        <f>IF(N(E62)&gt;0,C62*D62/E62,C62*D62*J62)</f>
        <v/>
      </c>
      <c r="L62" s="19">
        <f>IF(G62=0,0,K62/G62)</f>
        <v/>
      </c>
      <c r="M62" s="19">
        <f>IF(L62=0,0,L62/MonthsYear)</f>
        <v/>
      </c>
    </row>
    <row r="63" ht="18" customHeight="1">
      <c r="A63" s="8" t="inlineStr">
        <is>
          <t>personal_buy</t>
        </is>
      </c>
      <c r="B63" s="7" t="inlineStr">
        <is>
          <t>Вилка</t>
        </is>
      </c>
      <c r="C63" s="13" t="n">
        <v>1</v>
      </c>
      <c r="D63" s="16" t="n">
        <v>49</v>
      </c>
      <c r="E63" s="13" t="n">
        <v>3</v>
      </c>
      <c r="F63" s="13" t="inlineStr"/>
      <c r="G63" s="15" t="n">
        <v>1</v>
      </c>
      <c r="H63" s="17" t="inlineStr">
        <is>
          <t>https://www.detmir.ru/search/results/?qt=%D0%B2%D0%B8%D0%BB%D0%BA%D0%B0%20%D0%B4%D0%B5%D1%82%D1%81%D0%BA%D0%B0%D1%8F</t>
        </is>
      </c>
      <c r="I63" s="8" t="inlineStr">
        <is>
          <t>amort</t>
        </is>
      </c>
      <c r="J63" s="18">
        <f>IF(F63="год",1,IF(F63="месяц",MonthsYear,IF(F63="неделя",WeeksYear,0)))</f>
        <v/>
      </c>
      <c r="K63" s="19">
        <f>IF(N(E63)&gt;0,C63*D63/E63,C63*D63*J63)</f>
        <v/>
      </c>
      <c r="L63" s="19">
        <f>IF(G63=0,0,K63/G63)</f>
        <v/>
      </c>
      <c r="M63" s="19">
        <f>IF(L63=0,0,L63/MonthsYear)</f>
        <v/>
      </c>
    </row>
    <row r="64" ht="18" customHeight="1">
      <c r="A64" s="8" t="inlineStr">
        <is>
          <t>personal_buy</t>
        </is>
      </c>
      <c r="B64" s="7" t="inlineStr">
        <is>
          <t>Влажные салфетки</t>
        </is>
      </c>
      <c r="C64" s="13" t="n">
        <v>12</v>
      </c>
      <c r="D64" s="16" t="n">
        <v>89</v>
      </c>
      <c r="E64" s="13" t="n">
        <v>1</v>
      </c>
      <c r="F64" s="13" t="inlineStr"/>
      <c r="G64" s="15" t="n">
        <v>1</v>
      </c>
      <c r="H64" s="17" t="inlineStr">
        <is>
          <t>https://magnit.ru/catalog?q=%D0%B2%D0%BB%D0%B0%D0%B6%D0%BD%D1%8B%D0%B5%20%D1%81%D0%B0%D0%BB%D1%84%D0%B5%D1%82%D0%BA%D0%B8</t>
        </is>
      </c>
      <c r="I64" s="8" t="inlineStr">
        <is>
          <t>amort</t>
        </is>
      </c>
      <c r="J64" s="18">
        <f>IF(F64="год",1,IF(F64="месяц",MonthsYear,IF(F64="неделя",WeeksYear,0)))</f>
        <v/>
      </c>
      <c r="K64" s="19">
        <f>IF(N(E64)&gt;0,C64*D64/E64,C64*D64*J64)</f>
        <v/>
      </c>
      <c r="L64" s="19">
        <f>IF(G64=0,0,K64/G64)</f>
        <v/>
      </c>
      <c r="M64" s="19">
        <f>IF(L64=0,0,L64/MonthsYear)</f>
        <v/>
      </c>
    </row>
    <row r="65" ht="18" customHeight="1">
      <c r="A65" s="8" t="inlineStr">
        <is>
          <t>personal_buy</t>
        </is>
      </c>
      <c r="B65" s="7" t="inlineStr">
        <is>
          <t>Зубная паста R.O.C.S.</t>
        </is>
      </c>
      <c r="C65" s="13" t="n">
        <v>6</v>
      </c>
      <c r="D65" s="16" t="n">
        <v>399</v>
      </c>
      <c r="E65" s="13" t="n">
        <v>1</v>
      </c>
      <c r="F65" s="13" t="inlineStr"/>
      <c r="G65" s="15" t="n">
        <v>1</v>
      </c>
      <c r="H65" s="17" t="inlineStr">
        <is>
          <t>https://www.okeydostavka.ru/webapp/wcs/stores/servlet/SearchDisplay?searchTerm=R.O.C.S.</t>
        </is>
      </c>
      <c r="I65" s="8" t="inlineStr">
        <is>
          <t>amort</t>
        </is>
      </c>
      <c r="J65" s="18">
        <f>IF(F65="год",1,IF(F65="месяц",MonthsYear,IF(F65="неделя",WeeksYear,0)))</f>
        <v/>
      </c>
      <c r="K65" s="19">
        <f>IF(N(E65)&gt;0,C65*D65/E65,C65*D65*J65)</f>
        <v/>
      </c>
      <c r="L65" s="19">
        <f>IF(G65=0,0,K65/G65)</f>
        <v/>
      </c>
      <c r="M65" s="19">
        <f>IF(L65=0,0,L65/MonthsYear)</f>
        <v/>
      </c>
    </row>
    <row r="66" ht="18" customHeight="1">
      <c r="A66" s="8" t="inlineStr">
        <is>
          <t>personal_buy</t>
        </is>
      </c>
      <c r="B66" s="7" t="inlineStr">
        <is>
          <t>Зубная щётка</t>
        </is>
      </c>
      <c r="C66" s="13" t="n">
        <v>2</v>
      </c>
      <c r="D66" s="16" t="n">
        <v>149</v>
      </c>
      <c r="E66" s="13" t="n">
        <v>1</v>
      </c>
      <c r="F66" s="13" t="inlineStr"/>
      <c r="G66" s="15" t="n">
        <v>1</v>
      </c>
      <c r="H66" s="17" t="inlineStr">
        <is>
          <t>https://www.detmir.ru/search/results/?qt=%D0%B7%D1%83%D0%B1%D0%BD%D0%B0%D1%8F%20%D1%89%D0%B5%D1%82%D0%BA%D0%B0%20%D0%B4%D0%B5%D1%82%D1%81%D0%BA%D0%B0%D1%8F</t>
        </is>
      </c>
      <c r="I66" s="8" t="inlineStr">
        <is>
          <t>amort</t>
        </is>
      </c>
      <c r="J66" s="18">
        <f>IF(F66="год",1,IF(F66="месяц",MonthsYear,IF(F66="неделя",WeeksYear,0)))</f>
        <v/>
      </c>
      <c r="K66" s="19">
        <f>IF(N(E66)&gt;0,C66*D66/E66,C66*D66*J66)</f>
        <v/>
      </c>
      <c r="L66" s="19">
        <f>IF(G66=0,0,K66/G66)</f>
        <v/>
      </c>
      <c r="M66" s="19">
        <f>IF(L66=0,0,L66/MonthsYear)</f>
        <v/>
      </c>
    </row>
    <row r="67" ht="18" customHeight="1">
      <c r="A67" s="8" t="inlineStr">
        <is>
          <t>personal_buy</t>
        </is>
      </c>
      <c r="B67" s="7" t="inlineStr">
        <is>
          <t>Ложка столовая</t>
        </is>
      </c>
      <c r="C67" s="13" t="n">
        <v>1</v>
      </c>
      <c r="D67" s="16" t="n">
        <v>49</v>
      </c>
      <c r="E67" s="13" t="n">
        <v>3</v>
      </c>
      <c r="F67" s="13" t="inlineStr"/>
      <c r="G67" s="15" t="n">
        <v>1</v>
      </c>
      <c r="H67" s="17" t="inlineStr">
        <is>
          <t>https://www.detmir.ru/search/results/?qt=%D0%BB%D0%BE%D0%B6%D0%BA%D0%B0%20%D0%B4%D0%B5%D1%82%D1%81%D0%BA%D0%B0%D1%8F</t>
        </is>
      </c>
      <c r="I67" s="8" t="inlineStr">
        <is>
          <t>amort</t>
        </is>
      </c>
      <c r="J67" s="18">
        <f>IF(F67="год",1,IF(F67="месяц",MonthsYear,IF(F67="неделя",WeeksYear,0)))</f>
        <v/>
      </c>
      <c r="K67" s="19">
        <f>IF(N(E67)&gt;0,C67*D67/E67,C67*D67*J67)</f>
        <v/>
      </c>
      <c r="L67" s="19">
        <f>IF(G67=0,0,K67/G67)</f>
        <v/>
      </c>
      <c r="M67" s="19">
        <f>IF(L67=0,0,L67/MonthsYear)</f>
        <v/>
      </c>
    </row>
    <row r="68" ht="18" customHeight="1">
      <c r="A68" s="8" t="inlineStr">
        <is>
          <t>personal_buy</t>
        </is>
      </c>
      <c r="B68" s="7" t="inlineStr">
        <is>
          <t>Ложка чайная</t>
        </is>
      </c>
      <c r="C68" s="13" t="n">
        <v>1</v>
      </c>
      <c r="D68" s="16" t="n">
        <v>39</v>
      </c>
      <c r="E68" s="13" t="n">
        <v>3</v>
      </c>
      <c r="F68" s="13" t="inlineStr"/>
      <c r="G68" s="15" t="n">
        <v>1</v>
      </c>
      <c r="H68" s="17" t="inlineStr">
        <is>
          <t>https://www.detmir.ru/search/results/?qt=%D0%BB%D0%BE%D0%B6%D0%BA%D0%B0%20%D1%87%D0%B0%D0%B9%D0%BD%D0%B0%D1%8F%20%D0%B4%D0%B5%D1%82%D1%81%D0%BA%D0%B0%D1%8F</t>
        </is>
      </c>
      <c r="I68" s="8" t="inlineStr">
        <is>
          <t>amort</t>
        </is>
      </c>
      <c r="J68" s="18">
        <f>IF(F68="год",1,IF(F68="месяц",MonthsYear,IF(F68="неделя",WeeksYear,0)))</f>
        <v/>
      </c>
      <c r="K68" s="19">
        <f>IF(N(E68)&gt;0,C68*D68/E68,C68*D68*J68)</f>
        <v/>
      </c>
      <c r="L68" s="19">
        <f>IF(G68=0,0,K68/G68)</f>
        <v/>
      </c>
      <c r="M68" s="19">
        <f>IF(L68=0,0,L68/MonthsYear)</f>
        <v/>
      </c>
    </row>
    <row r="69" ht="18" customHeight="1">
      <c r="A69" s="8" t="inlineStr">
        <is>
          <t>personal_buy</t>
        </is>
      </c>
      <c r="B69" s="7" t="inlineStr">
        <is>
          <t>Молочко для тела</t>
        </is>
      </c>
      <c r="C69" s="13" t="n">
        <v>1</v>
      </c>
      <c r="D69" s="16" t="n">
        <v>299</v>
      </c>
      <c r="E69" s="13" t="n">
        <v>1</v>
      </c>
      <c r="F69" s="13" t="inlineStr"/>
      <c r="G69" s="15" t="n">
        <v>1</v>
      </c>
      <c r="H69" s="17" t="inlineStr">
        <is>
          <t>https://magnit.ru/catalog?q=%D0%BC%D0%BE%D0%BB%D0%BE%D1%87%D0%BA%D0%BE%20%D0%B4%D0%BB%D1%8F%20%D1%82%D0%B5%D0%BB%D0%B0%20%D0%B4%D0%B5%D1%82%D1%81%D0%BA%D0%BE%D0%B5</t>
        </is>
      </c>
      <c r="I69" s="8" t="inlineStr">
        <is>
          <t>amort</t>
        </is>
      </c>
      <c r="J69" s="18">
        <f>IF(F69="год",1,IF(F69="месяц",MonthsYear,IF(F69="неделя",WeeksYear,0)))</f>
        <v/>
      </c>
      <c r="K69" s="19">
        <f>IF(N(E69)&gt;0,C69*D69/E69,C69*D69*J69)</f>
        <v/>
      </c>
      <c r="L69" s="19">
        <f>IF(G69=0,0,K69/G69)</f>
        <v/>
      </c>
      <c r="M69" s="19">
        <f>IF(L69=0,0,L69/MonthsYear)</f>
        <v/>
      </c>
    </row>
    <row r="70" ht="18" customHeight="1">
      <c r="A70" s="8" t="inlineStr">
        <is>
          <t>personal_buy</t>
        </is>
      </c>
      <c r="B70" s="7" t="inlineStr">
        <is>
          <t>Мочалка</t>
        </is>
      </c>
      <c r="C70" s="13" t="n">
        <v>1</v>
      </c>
      <c r="D70" s="16" t="n">
        <v>199</v>
      </c>
      <c r="E70" s="13" t="n">
        <v>1</v>
      </c>
      <c r="F70" s="13" t="inlineStr"/>
      <c r="G70" s="15" t="n">
        <v>1</v>
      </c>
      <c r="H70" s="17" t="inlineStr">
        <is>
          <t>https://www.detmir.ru/search/results/?qt=%D0%BC%D0%BE%D1%87%D0%B0%D0%BB%D0%BA%D0%B0</t>
        </is>
      </c>
      <c r="I70" s="8" t="inlineStr">
        <is>
          <t>amort</t>
        </is>
      </c>
      <c r="J70" s="18">
        <f>IF(F70="год",1,IF(F70="месяц",MonthsYear,IF(F70="неделя",WeeksYear,0)))</f>
        <v/>
      </c>
      <c r="K70" s="19">
        <f>IF(N(E70)&gt;0,C70*D70/E70,C70*D70*J70)</f>
        <v/>
      </c>
      <c r="L70" s="19">
        <f>IF(G70=0,0,K70/G70)</f>
        <v/>
      </c>
      <c r="M70" s="19">
        <f>IF(L70=0,0,L70/MonthsYear)</f>
        <v/>
      </c>
    </row>
    <row r="71" ht="18" customHeight="1">
      <c r="A71" s="8" t="inlineStr">
        <is>
          <t>personal_buy</t>
        </is>
      </c>
      <c r="B71" s="7" t="inlineStr">
        <is>
          <t>Полотенце банное</t>
        </is>
      </c>
      <c r="C71" s="13" t="n">
        <v>1</v>
      </c>
      <c r="D71" s="16" t="n">
        <v>699</v>
      </c>
      <c r="E71" s="13" t="n">
        <v>1</v>
      </c>
      <c r="F71" s="13" t="inlineStr"/>
      <c r="G71" s="15" t="n">
        <v>1</v>
      </c>
      <c r="H71" s="17" t="inlineStr">
        <is>
          <t>https://www.detmir.ru/search/results/?qt=%D0%BF%D0%BE%D0%BB%D0%BE%D1%82%D0%B5%D0%BD%D1%86%D0%B5%20%D0%B1%D0%B0%D0%BD%D0%BD%D0%BE%D0%B5</t>
        </is>
      </c>
      <c r="I71" s="8" t="inlineStr">
        <is>
          <t>amort</t>
        </is>
      </c>
      <c r="J71" s="18">
        <f>IF(F71="год",1,IF(F71="месяц",MonthsYear,IF(F71="неделя",WeeksYear,0)))</f>
        <v/>
      </c>
      <c r="K71" s="19">
        <f>IF(N(E71)&gt;0,C71*D71/E71,C71*D71*J71)</f>
        <v/>
      </c>
      <c r="L71" s="19">
        <f>IF(G71=0,0,K71/G71)</f>
        <v/>
      </c>
      <c r="M71" s="19">
        <f>IF(L71=0,0,L71/MonthsYear)</f>
        <v/>
      </c>
    </row>
    <row r="72" ht="18" customHeight="1">
      <c r="A72" s="8" t="inlineStr">
        <is>
          <t>personal_buy</t>
        </is>
      </c>
      <c r="B72" s="7" t="inlineStr">
        <is>
          <t>Полотенце для лица</t>
        </is>
      </c>
      <c r="C72" s="13" t="n">
        <v>2</v>
      </c>
      <c r="D72" s="16" t="n">
        <v>349</v>
      </c>
      <c r="E72" s="13" t="n">
        <v>1</v>
      </c>
      <c r="F72" s="13" t="inlineStr"/>
      <c r="G72" s="15" t="n">
        <v>1</v>
      </c>
      <c r="H72" s="17" t="inlineStr">
        <is>
          <t>https://www.detmir.ru/search/results/?qt=%D0%BF%D0%BE%D0%BB%D0%BE%D1%82%D0%B5%D0%BD%D1%86%D0%B5%20%D0%B4%D0%BB%D1%8F%20%D0%BB%D0%B8%D1%86%D0%B0</t>
        </is>
      </c>
      <c r="I72" s="8" t="inlineStr">
        <is>
          <t>amort</t>
        </is>
      </c>
      <c r="J72" s="18">
        <f>IF(F72="год",1,IF(F72="месяц",MonthsYear,IF(F72="неделя",WeeksYear,0)))</f>
        <v/>
      </c>
      <c r="K72" s="19">
        <f>IF(N(E72)&gt;0,C72*D72/E72,C72*D72*J72)</f>
        <v/>
      </c>
      <c r="L72" s="19">
        <f>IF(G72=0,0,K72/G72)</f>
        <v/>
      </c>
      <c r="M72" s="19">
        <f>IF(L72=0,0,L72/MonthsYear)</f>
        <v/>
      </c>
    </row>
    <row r="73" ht="18" customHeight="1">
      <c r="A73" s="8" t="inlineStr">
        <is>
          <t>personal_buy</t>
        </is>
      </c>
      <c r="B73" s="7" t="inlineStr">
        <is>
          <t>Тарелка глубокая</t>
        </is>
      </c>
      <c r="C73" s="13" t="n">
        <v>1</v>
      </c>
      <c r="D73" s="16" t="n">
        <v>149</v>
      </c>
      <c r="E73" s="13" t="n">
        <v>3</v>
      </c>
      <c r="F73" s="13" t="inlineStr"/>
      <c r="G73" s="15" t="n">
        <v>1</v>
      </c>
      <c r="H73" s="17" t="inlineStr">
        <is>
          <t>https://www.detmir.ru/search/results/?qt=%D1%82%D0%B0%D1%80%D0%B5%D0%BB%D0%BA%D0%B0%20%D0%B4%D0%B5%D1%82%D1%81%D0%BA%D0%B0%D1%8F</t>
        </is>
      </c>
      <c r="I73" s="8" t="inlineStr">
        <is>
          <t>amort</t>
        </is>
      </c>
      <c r="J73" s="18">
        <f>IF(F73="год",1,IF(F73="месяц",MonthsYear,IF(F73="неделя",WeeksYear,0)))</f>
        <v/>
      </c>
      <c r="K73" s="19">
        <f>IF(N(E73)&gt;0,C73*D73/E73,C73*D73*J73)</f>
        <v/>
      </c>
      <c r="L73" s="19">
        <f>IF(G73=0,0,K73/G73)</f>
        <v/>
      </c>
      <c r="M73" s="19">
        <f>IF(L73=0,0,L73/MonthsYear)</f>
        <v/>
      </c>
    </row>
    <row r="74" ht="18" customHeight="1">
      <c r="A74" s="8" t="inlineStr">
        <is>
          <t>personal_buy</t>
        </is>
      </c>
      <c r="B74" s="7" t="inlineStr">
        <is>
          <t>Тарелка плоская</t>
        </is>
      </c>
      <c r="C74" s="13" t="n">
        <v>1</v>
      </c>
      <c r="D74" s="16" t="n">
        <v>149</v>
      </c>
      <c r="E74" s="13" t="n">
        <v>3</v>
      </c>
      <c r="F74" s="13" t="inlineStr"/>
      <c r="G74" s="15" t="n">
        <v>1</v>
      </c>
      <c r="H74" s="17" t="inlineStr">
        <is>
          <t>https://www.detmir.ru/search/results/?qt=%D1%82%D0%B0%D1%80%D0%B5%D0%BB%D0%BA%D0%B0%20%D0%B4%D0%B5%D1%82%D1%81%D0%BA%D0%B0%D1%8F</t>
        </is>
      </c>
      <c r="I74" s="8" t="inlineStr">
        <is>
          <t>amort</t>
        </is>
      </c>
      <c r="J74" s="18">
        <f>IF(F74="год",1,IF(F74="месяц",MonthsYear,IF(F74="неделя",WeeksYear,0)))</f>
        <v/>
      </c>
      <c r="K74" s="19">
        <f>IF(N(E74)&gt;0,C74*D74/E74,C74*D74*J74)</f>
        <v/>
      </c>
      <c r="L74" s="19">
        <f>IF(G74=0,0,K74/G74)</f>
        <v/>
      </c>
      <c r="M74" s="19">
        <f>IF(L74=0,0,L74/MonthsYear)</f>
        <v/>
      </c>
    </row>
    <row r="75" ht="18" customHeight="1">
      <c r="A75" s="8" t="inlineStr">
        <is>
          <t>personal_buy</t>
        </is>
      </c>
      <c r="B75" s="7" t="inlineStr">
        <is>
          <t>Туалетная бумага</t>
        </is>
      </c>
      <c r="C75" s="13" t="n">
        <v>36</v>
      </c>
      <c r="D75" s="16" t="n">
        <v>30</v>
      </c>
      <c r="E75" s="13" t="n">
        <v>1</v>
      </c>
      <c r="F75" s="13" t="inlineStr"/>
      <c r="G75" s="15" t="n">
        <v>1</v>
      </c>
      <c r="H75" s="17" t="inlineStr">
        <is>
          <t>https://magnit.ru/product/1000044580-tualetnaya_bumaga_soft_luxe_4_rulona</t>
        </is>
      </c>
      <c r="I75" s="8" t="inlineStr">
        <is>
          <t>amort</t>
        </is>
      </c>
      <c r="J75" s="18">
        <f>IF(F75="год",1,IF(F75="месяц",MonthsYear,IF(F75="неделя",WeeksYear,0)))</f>
        <v/>
      </c>
      <c r="K75" s="19">
        <f>IF(N(E75)&gt;0,C75*D75/E75,C75*D75*J75)</f>
        <v/>
      </c>
      <c r="L75" s="19">
        <f>IF(G75=0,0,K75/G75)</f>
        <v/>
      </c>
      <c r="M75" s="19">
        <f>IF(L75=0,0,L75/MonthsYear)</f>
        <v/>
      </c>
    </row>
    <row r="76" ht="18" customHeight="1">
      <c r="A76" s="8" t="inlineStr">
        <is>
          <t>personal_buy</t>
        </is>
      </c>
      <c r="B76" s="7" t="inlineStr">
        <is>
          <t>Чашка</t>
        </is>
      </c>
      <c r="C76" s="13" t="n">
        <v>1</v>
      </c>
      <c r="D76" s="16" t="n">
        <v>199</v>
      </c>
      <c r="E76" s="13" t="n">
        <v>3</v>
      </c>
      <c r="F76" s="13" t="inlineStr"/>
      <c r="G76" s="15" t="n">
        <v>1</v>
      </c>
      <c r="H76" s="17" t="inlineStr">
        <is>
          <t>https://www.detmir.ru/search/results/?qt=%D0%BA%D1%80%D1%83%D0%B6%D0%BA%D0%B0%20%D0%B4%D0%B5%D1%82%D1%81%D0%BA%D0%B0%D1%8F</t>
        </is>
      </c>
      <c r="I76" s="8" t="inlineStr">
        <is>
          <t>amort</t>
        </is>
      </c>
      <c r="J76" s="18">
        <f>IF(F76="год",1,IF(F76="месяц",MonthsYear,IF(F76="неделя",WeeksYear,0)))</f>
        <v/>
      </c>
      <c r="K76" s="19">
        <f>IF(N(E76)&gt;0,C76*D76/E76,C76*D76*J76)</f>
        <v/>
      </c>
      <c r="L76" s="19">
        <f>IF(G76=0,0,K76/G76)</f>
        <v/>
      </c>
      <c r="M76" s="19">
        <f>IF(L76=0,0,L76/MonthsYear)</f>
        <v/>
      </c>
    </row>
    <row r="77" ht="18" customHeight="1">
      <c r="A77" s="8" t="inlineStr">
        <is>
          <t>personal_buy</t>
        </is>
      </c>
      <c r="B77" s="7" t="inlineStr">
        <is>
          <t>Шампунь детский</t>
        </is>
      </c>
      <c r="C77" s="13" t="n">
        <v>6</v>
      </c>
      <c r="D77" s="16" t="n">
        <v>199</v>
      </c>
      <c r="E77" s="13" t="n">
        <v>1</v>
      </c>
      <c r="F77" s="13" t="inlineStr"/>
      <c r="G77" s="15" t="n">
        <v>1</v>
      </c>
      <c r="H77" s="17" t="inlineStr">
        <is>
          <t>https://www.detmir.ru/search/results/?qt=%D1%88%D0%B0%D0%BC%D0%BF%D1%83%D0%BD%D1%8C%20%D0%B4%D0%B5%D1%82%D1%81%D0%BA%D0%B8%D0%B9</t>
        </is>
      </c>
      <c r="I77" s="8" t="inlineStr">
        <is>
          <t>amort</t>
        </is>
      </c>
      <c r="J77" s="18">
        <f>IF(F77="год",1,IF(F77="месяц",MonthsYear,IF(F77="неделя",WeeksYear,0)))</f>
        <v/>
      </c>
      <c r="K77" s="19">
        <f>IF(N(E77)&gt;0,C77*D77/E77,C77*D77*J77)</f>
        <v/>
      </c>
      <c r="L77" s="19">
        <f>IF(G77=0,0,K77/G77)</f>
        <v/>
      </c>
      <c r="M77" s="19">
        <f>IF(L77=0,0,L77/MonthsYear)</f>
        <v/>
      </c>
    </row>
    <row r="78" ht="18" customHeight="1">
      <c r="A78" s="8" t="inlineStr">
        <is>
          <t>personal_buy</t>
        </is>
      </c>
      <c r="B78" s="7" t="inlineStr">
        <is>
          <t>Шейкер / бутылка</t>
        </is>
      </c>
      <c r="C78" s="13" t="n">
        <v>1</v>
      </c>
      <c r="D78" s="16" t="n">
        <v>499</v>
      </c>
      <c r="E78" s="13" t="n">
        <v>2</v>
      </c>
      <c r="F78" s="13" t="inlineStr"/>
      <c r="G78" s="15" t="n">
        <v>1</v>
      </c>
      <c r="H78" s="17" t="inlineStr">
        <is>
          <t>https://www.detmir.ru/search/results/?qt=%D0%B1%D1%83%D1%82%D1%8B%D0%BB%D0%BA%D0%B0</t>
        </is>
      </c>
      <c r="I78" s="8" t="inlineStr">
        <is>
          <t>amort</t>
        </is>
      </c>
      <c r="J78" s="18">
        <f>IF(F78="год",1,IF(F78="месяц",MonthsYear,IF(F78="неделя",WeeksYear,0)))</f>
        <v/>
      </c>
      <c r="K78" s="19">
        <f>IF(N(E78)&gt;0,C78*D78/E78,C78*D78*J78)</f>
        <v/>
      </c>
      <c r="L78" s="19">
        <f>IF(G78=0,0,K78/G78)</f>
        <v/>
      </c>
      <c r="M78" s="19">
        <f>IF(L78=0,0,L78/MonthsYear)</f>
        <v/>
      </c>
    </row>
    <row r="79" ht="18" customHeight="1">
      <c r="A79" s="8" t="inlineStr">
        <is>
          <t>food</t>
        </is>
      </c>
      <c r="B79" s="7" t="inlineStr">
        <is>
          <t>Продукты на ребёнка</t>
        </is>
      </c>
      <c r="C79" s="13" t="n">
        <v>1</v>
      </c>
      <c r="D79" s="16" t="n">
        <v>20000</v>
      </c>
      <c r="E79" s="13" t="n"/>
      <c r="F79" s="13" t="inlineStr">
        <is>
          <t>месяц</t>
        </is>
      </c>
      <c r="G79" s="15" t="n">
        <v>1</v>
      </c>
      <c r="H79" s="17" t="inlineStr">
        <is>
          <t>https://magnit.ru/</t>
        </is>
      </c>
      <c r="I79" s="8" t="inlineStr">
        <is>
          <t>pay</t>
        </is>
      </c>
      <c r="J79" s="18">
        <f>IF(F79="год",1,IF(F79="месяц",MonthsYear,IF(F79="неделя",WeeksYear,0)))</f>
        <v/>
      </c>
      <c r="K79" s="19">
        <f>IF(N(E79)&gt;0,C79*D79/E79,C79*D79*J79)</f>
        <v/>
      </c>
      <c r="L79" s="19">
        <f>IF(G79=0,0,K79/G79)</f>
        <v/>
      </c>
      <c r="M79" s="19">
        <f>IF(L79=0,0,L79/MonthsYear)</f>
        <v/>
      </c>
    </row>
    <row r="80" ht="18" customHeight="1">
      <c r="A80" s="8" t="inlineStr">
        <is>
          <t>sport_buy</t>
        </is>
      </c>
      <c r="B80" s="7" t="inlineStr">
        <is>
          <t>Бустер автомобильный</t>
        </is>
      </c>
      <c r="C80" s="13" t="n">
        <v>1</v>
      </c>
      <c r="D80" s="16" t="n">
        <v>1999</v>
      </c>
      <c r="E80" s="13" t="n">
        <v>7</v>
      </c>
      <c r="F80" s="13" t="inlineStr"/>
      <c r="G80" s="15" t="n">
        <v>1</v>
      </c>
      <c r="H80" s="17" t="inlineStr">
        <is>
          <t>https://www.detmir.ru/search/results/?qt=%D0%B1%D1%83%D1%81%D1%82%D0%B5%D1%80%20%D0%B0%D0%B2%D1%82%D0%BE%D0%BC%D0%BE%D0%B1%D0%B8%D0%BB%D1%8C%D0%BD%D1%8B%D0%B9</t>
        </is>
      </c>
      <c r="I80" s="8" t="inlineStr">
        <is>
          <t>amort</t>
        </is>
      </c>
      <c r="J80" s="18">
        <f>IF(F80="год",1,IF(F80="месяц",MonthsYear,IF(F80="неделя",WeeksYear,0)))</f>
        <v/>
      </c>
      <c r="K80" s="19">
        <f>IF(N(E80)&gt;0,C80*D80/E80,C80*D80*J80)</f>
        <v/>
      </c>
      <c r="L80" s="19">
        <f>IF(G80=0,0,K80/G80)</f>
        <v/>
      </c>
      <c r="M80" s="19">
        <f>IF(L80=0,0,L80/MonthsYear)</f>
        <v/>
      </c>
    </row>
    <row r="81" ht="18" customHeight="1">
      <c r="A81" s="8" t="inlineStr">
        <is>
          <t>sport_buy</t>
        </is>
      </c>
      <c r="B81" s="7" t="inlineStr">
        <is>
          <t>Велосипед Stern 24"</t>
        </is>
      </c>
      <c r="C81" s="13" t="n">
        <v>1</v>
      </c>
      <c r="D81" s="16" t="n">
        <v>27999</v>
      </c>
      <c r="E81" s="13" t="n">
        <v>5</v>
      </c>
      <c r="F81" s="13" t="inlineStr"/>
      <c r="G81" s="15" t="n">
        <v>1</v>
      </c>
      <c r="H81" s="17" t="inlineStr">
        <is>
          <t>https://market.yandex.ru/search?text=%D0%B2%D0%B5%D0%BB%D0%BE%D1%81%D0%B8%D0%BF%D0%B5%D0%B4%20Stern%2024</t>
        </is>
      </c>
      <c r="I81" s="8" t="inlineStr">
        <is>
          <t>amort</t>
        </is>
      </c>
      <c r="J81" s="18">
        <f>IF(F81="год",1,IF(F81="месяц",MonthsYear,IF(F81="неделя",WeeksYear,0)))</f>
        <v/>
      </c>
      <c r="K81" s="19">
        <f>IF(N(E81)&gt;0,C81*D81/E81,C81*D81*J81)</f>
        <v/>
      </c>
      <c r="L81" s="19">
        <f>IF(G81=0,0,K81/G81)</f>
        <v/>
      </c>
      <c r="M81" s="19">
        <f>IF(L81=0,0,L81/MonthsYear)</f>
        <v/>
      </c>
    </row>
    <row r="82" ht="18" customHeight="1">
      <c r="A82" s="8" t="inlineStr">
        <is>
          <t>sport_buy</t>
        </is>
      </c>
      <c r="B82" s="7" t="inlineStr">
        <is>
          <t>Гантель</t>
        </is>
      </c>
      <c r="C82" s="13" t="n">
        <v>2</v>
      </c>
      <c r="D82" s="16" t="n">
        <v>365</v>
      </c>
      <c r="E82" s="13" t="n">
        <v>3</v>
      </c>
      <c r="F82" s="13" t="inlineStr"/>
      <c r="G82" s="15" t="n">
        <v>1</v>
      </c>
      <c r="H82" s="17" t="inlineStr">
        <is>
          <t>https://www.detmir.ru/search/results/?qt=%D0%B3%D0%B0%D0%BD%D1%82%D0%B5%D0%BB%D0%B8%20%D0%B4%D0%B5%D1%82%D1%81%D0%BA%D0%B8%D0%B5</t>
        </is>
      </c>
      <c r="I82" s="8" t="inlineStr">
        <is>
          <t>amort</t>
        </is>
      </c>
      <c r="J82" s="18">
        <f>IF(F82="год",1,IF(F82="месяц",MonthsYear,IF(F82="неделя",WeeksYear,0)))</f>
        <v/>
      </c>
      <c r="K82" s="19">
        <f>IF(N(E82)&gt;0,C82*D82/E82,C82*D82*J82)</f>
        <v/>
      </c>
      <c r="L82" s="19">
        <f>IF(G82=0,0,K82/G82)</f>
        <v/>
      </c>
      <c r="M82" s="19">
        <f>IF(L82=0,0,L82/MonthsYear)</f>
        <v/>
      </c>
    </row>
    <row r="83" ht="18" customHeight="1">
      <c r="A83" s="8" t="inlineStr">
        <is>
          <t>sport_buy</t>
        </is>
      </c>
      <c r="B83" s="7" t="inlineStr">
        <is>
          <t>Коньки</t>
        </is>
      </c>
      <c r="C83" s="13" t="n">
        <v>1</v>
      </c>
      <c r="D83" s="16" t="n">
        <v>2999</v>
      </c>
      <c r="E83" s="13" t="n">
        <v>1</v>
      </c>
      <c r="F83" s="13" t="inlineStr"/>
      <c r="G83" s="15" t="n">
        <v>1</v>
      </c>
      <c r="H83" s="17" t="inlineStr">
        <is>
          <t>https://www.detmir.ru/search/results/?qt=%D0%BA%D0%BE%D0%BD%D1%8C%D0%BA%D0%B8</t>
        </is>
      </c>
      <c r="I83" s="8" t="inlineStr">
        <is>
          <t>amort</t>
        </is>
      </c>
      <c r="J83" s="18">
        <f>IF(F83="год",1,IF(F83="месяц",MonthsYear,IF(F83="неделя",WeeksYear,0)))</f>
        <v/>
      </c>
      <c r="K83" s="19">
        <f>IF(N(E83)&gt;0,C83*D83/E83,C83*D83*J83)</f>
        <v/>
      </c>
      <c r="L83" s="19">
        <f>IF(G83=0,0,K83/G83)</f>
        <v/>
      </c>
      <c r="M83" s="19">
        <f>IF(L83=0,0,L83/MonthsYear)</f>
        <v/>
      </c>
    </row>
    <row r="84" ht="18" customHeight="1">
      <c r="A84" s="8" t="inlineStr">
        <is>
          <t>sport_buy</t>
        </is>
      </c>
      <c r="B84" s="7" t="inlineStr">
        <is>
          <t>Мяч футбольный</t>
        </is>
      </c>
      <c r="C84" s="13" t="n">
        <v>1</v>
      </c>
      <c r="D84" s="16" t="n">
        <v>799</v>
      </c>
      <c r="E84" s="13" t="n">
        <v>2</v>
      </c>
      <c r="F84" s="13" t="inlineStr"/>
      <c r="G84" s="15" t="n">
        <v>1</v>
      </c>
      <c r="H84" s="17" t="inlineStr">
        <is>
          <t>https://www.detmir.ru/search/results/?qt=%D0%BC%D1%8F%D1%87%20%D1%84%D1%83%D1%82%D0%B1%D0%BE%D0%BB%D1%8C%D0%BD%D1%8B%D0%B9</t>
        </is>
      </c>
      <c r="I84" s="8" t="inlineStr">
        <is>
          <t>amort</t>
        </is>
      </c>
      <c r="J84" s="18">
        <f>IF(F84="год",1,IF(F84="месяц",MonthsYear,IF(F84="неделя",WeeksYear,0)))</f>
        <v/>
      </c>
      <c r="K84" s="19">
        <f>IF(N(E84)&gt;0,C84*D84/E84,C84*D84*J84)</f>
        <v/>
      </c>
      <c r="L84" s="19">
        <f>IF(G84=0,0,K84/G84)</f>
        <v/>
      </c>
      <c r="M84" s="19">
        <f>IF(L84=0,0,L84/MonthsYear)</f>
        <v/>
      </c>
    </row>
    <row r="85" ht="18" customHeight="1">
      <c r="A85" s="8" t="inlineStr">
        <is>
          <t>sport_buy</t>
        </is>
      </c>
      <c r="B85" s="7" t="inlineStr">
        <is>
          <t>Надувной круг</t>
        </is>
      </c>
      <c r="C85" s="13" t="n">
        <v>1</v>
      </c>
      <c r="D85" s="16" t="n">
        <v>599</v>
      </c>
      <c r="E85" s="13" t="n">
        <v>2</v>
      </c>
      <c r="F85" s="13" t="inlineStr"/>
      <c r="G85" s="15" t="n">
        <v>1</v>
      </c>
      <c r="H85" s="17" t="inlineStr">
        <is>
          <t>https://www.detmir.ru/search/results/?qt=%D0%BD%D0%B0%D0%B4%D1%83%D0%B2%D0%BD%D0%BE%D0%B9%20%D0%BA%D1%80%D1%83%D0%B3</t>
        </is>
      </c>
      <c r="I85" s="8" t="inlineStr">
        <is>
          <t>amort</t>
        </is>
      </c>
      <c r="J85" s="18">
        <f>IF(F85="год",1,IF(F85="месяц",MonthsYear,IF(F85="неделя",WeeksYear,0)))</f>
        <v/>
      </c>
      <c r="K85" s="19">
        <f>IF(N(E85)&gt;0,C85*D85/E85,C85*D85*J85)</f>
        <v/>
      </c>
      <c r="L85" s="19">
        <f>IF(G85=0,0,K85/G85)</f>
        <v/>
      </c>
      <c r="M85" s="19">
        <f>IF(L85=0,0,L85/MonthsYear)</f>
        <v/>
      </c>
    </row>
    <row r="86" ht="18" customHeight="1">
      <c r="A86" s="8" t="inlineStr">
        <is>
          <t>sport_buy</t>
        </is>
      </c>
      <c r="B86" s="7" t="inlineStr">
        <is>
          <t>Скакалка</t>
        </is>
      </c>
      <c r="C86" s="13" t="n">
        <v>1</v>
      </c>
      <c r="D86" s="16" t="n">
        <v>399</v>
      </c>
      <c r="E86" s="13" t="n">
        <v>3</v>
      </c>
      <c r="F86" s="13" t="inlineStr"/>
      <c r="G86" s="15" t="n">
        <v>1</v>
      </c>
      <c r="H86" s="17" t="inlineStr">
        <is>
          <t>https://www.detmir.ru/search/results/?qt=%D1%81%D0%BA%D0%B0%D0%BA%D0%B0%D0%BB%D0%BA%D0%B0</t>
        </is>
      </c>
      <c r="I86" s="8" t="inlineStr">
        <is>
          <t>amort</t>
        </is>
      </c>
      <c r="J86" s="18">
        <f>IF(F86="год",1,IF(F86="месяц",MonthsYear,IF(F86="неделя",WeeksYear,0)))</f>
        <v/>
      </c>
      <c r="K86" s="19">
        <f>IF(N(E86)&gt;0,C86*D86/E86,C86*D86*J86)</f>
        <v/>
      </c>
      <c r="L86" s="19">
        <f>IF(G86=0,0,K86/G86)</f>
        <v/>
      </c>
      <c r="M86" s="19">
        <f>IF(L86=0,0,L86/MonthsYear)</f>
        <v/>
      </c>
    </row>
    <row r="87" ht="18" customHeight="1">
      <c r="A87" s="8" t="inlineStr">
        <is>
          <t>sport_buy</t>
        </is>
      </c>
      <c r="B87" s="7" t="inlineStr">
        <is>
          <t>Стул для кемпинга</t>
        </is>
      </c>
      <c r="C87" s="13" t="n">
        <v>1</v>
      </c>
      <c r="D87" s="16" t="n">
        <v>999</v>
      </c>
      <c r="E87" s="13" t="n">
        <v>5</v>
      </c>
      <c r="F87" s="13" t="inlineStr"/>
      <c r="G87" s="15" t="n">
        <v>1</v>
      </c>
      <c r="H87" s="17" t="inlineStr">
        <is>
          <t>https://leroymerlin.ru/search/?q=%D1%81%D1%82%D1%83%D0%BB%20%D0%BA%D0%B5%D0%BC%D0%BF%D0%B8%D0%BD%D0%B3</t>
        </is>
      </c>
      <c r="I87" s="8" t="inlineStr">
        <is>
          <t>amort</t>
        </is>
      </c>
      <c r="J87" s="18">
        <f>IF(F87="год",1,IF(F87="месяц",MonthsYear,IF(F87="неделя",WeeksYear,0)))</f>
        <v/>
      </c>
      <c r="K87" s="19">
        <f>IF(N(E87)&gt;0,C87*D87/E87,C87*D87*J87)</f>
        <v/>
      </c>
      <c r="L87" s="19">
        <f>IF(G87=0,0,K87/G87)</f>
        <v/>
      </c>
      <c r="M87" s="19">
        <f>IF(L87=0,0,L87/MonthsYear)</f>
        <v/>
      </c>
    </row>
    <row r="88" ht="18" customHeight="1">
      <c r="A88" s="8" t="inlineStr">
        <is>
          <t>school_ward</t>
        </is>
      </c>
      <c r="B88" s="7" t="inlineStr">
        <is>
          <t>Брюки школьные</t>
        </is>
      </c>
      <c r="C88" s="13" t="n">
        <v>2</v>
      </c>
      <c r="D88" s="16" t="n">
        <v>2000</v>
      </c>
      <c r="E88" s="13" t="n">
        <v>2</v>
      </c>
      <c r="F88" s="13" t="inlineStr"/>
      <c r="G88" s="15" t="n">
        <v>1</v>
      </c>
      <c r="H88" s="17" t="inlineStr">
        <is>
          <t>https://www.wildberries.ru/catalog/13454614/detail.aspx</t>
        </is>
      </c>
      <c r="I88" s="8" t="inlineStr">
        <is>
          <t>amort</t>
        </is>
      </c>
      <c r="J88" s="18">
        <f>IF(F88="год",1,IF(F88="месяц",MonthsYear,IF(F88="неделя",WeeksYear,0)))</f>
        <v/>
      </c>
      <c r="K88" s="19">
        <f>IF(N(E88)&gt;0,C88*D88/E88,C88*D88*J88)</f>
        <v/>
      </c>
      <c r="L88" s="19">
        <f>IF(G88=0,0,K88/G88)</f>
        <v/>
      </c>
      <c r="M88" s="19">
        <f>IF(L88=0,0,L88/MonthsYear)</f>
        <v/>
      </c>
    </row>
    <row r="89" ht="18" customHeight="1">
      <c r="A89" s="8" t="inlineStr">
        <is>
          <t>school_ward</t>
        </is>
      </c>
      <c r="B89" s="7" t="inlineStr">
        <is>
          <t>Джемпер школьный</t>
        </is>
      </c>
      <c r="C89" s="13" t="n">
        <v>1</v>
      </c>
      <c r="D89" s="16" t="n">
        <v>1399</v>
      </c>
      <c r="E89" s="13" t="n">
        <v>2</v>
      </c>
      <c r="F89" s="13" t="inlineStr"/>
      <c r="G89" s="15" t="n">
        <v>1</v>
      </c>
      <c r="H89" s="17" t="inlineStr">
        <is>
          <t>https://www.detmir.ru/product/index/id/7065088/</t>
        </is>
      </c>
      <c r="I89" s="8" t="inlineStr">
        <is>
          <t>amort</t>
        </is>
      </c>
      <c r="J89" s="18">
        <f>IF(F89="год",1,IF(F89="месяц",MonthsYear,IF(F89="неделя",WeeksYear,0)))</f>
        <v/>
      </c>
      <c r="K89" s="19">
        <f>IF(N(E89)&gt;0,C89*D89/E89,C89*D89*J89)</f>
        <v/>
      </c>
      <c r="L89" s="19">
        <f>IF(G89=0,0,K89/G89)</f>
        <v/>
      </c>
      <c r="M89" s="19">
        <f>IF(L89=0,0,L89/MonthsYear)</f>
        <v/>
      </c>
    </row>
    <row r="90" ht="18" customHeight="1">
      <c r="A90" s="8" t="inlineStr">
        <is>
          <t>school_ward</t>
        </is>
      </c>
      <c r="B90" s="7" t="inlineStr">
        <is>
          <t>Жилет школьный</t>
        </is>
      </c>
      <c r="C90" s="13" t="n">
        <v>1</v>
      </c>
      <c r="D90" s="16" t="n">
        <v>999</v>
      </c>
      <c r="E90" s="13" t="n">
        <v>2</v>
      </c>
      <c r="F90" s="13" t="inlineStr"/>
      <c r="G90" s="15" t="n">
        <v>1</v>
      </c>
      <c r="H90" s="17" t="inlineStr">
        <is>
          <t>https://www.detmir.ru/product/index/id/7065103/</t>
        </is>
      </c>
      <c r="I90" s="8" t="inlineStr">
        <is>
          <t>amort</t>
        </is>
      </c>
      <c r="J90" s="18">
        <f>IF(F90="год",1,IF(F90="месяц",MonthsYear,IF(F90="неделя",WeeksYear,0)))</f>
        <v/>
      </c>
      <c r="K90" s="19">
        <f>IF(N(E90)&gt;0,C90*D90/E90,C90*D90*J90)</f>
        <v/>
      </c>
      <c r="L90" s="19">
        <f>IF(G90=0,0,K90/G90)</f>
        <v/>
      </c>
      <c r="M90" s="19">
        <f>IF(L90=0,0,L90/MonthsYear)</f>
        <v/>
      </c>
    </row>
    <row r="91" ht="18" customHeight="1">
      <c r="A91" s="8" t="inlineStr">
        <is>
          <t>school_ward</t>
        </is>
      </c>
      <c r="B91" s="7" t="inlineStr">
        <is>
          <t>Пиджак</t>
        </is>
      </c>
      <c r="C91" s="13" t="n">
        <v>1</v>
      </c>
      <c r="D91" s="16" t="n">
        <v>2399</v>
      </c>
      <c r="E91" s="13" t="n">
        <v>1</v>
      </c>
      <c r="F91" s="13" t="inlineStr"/>
      <c r="G91" s="15" t="n">
        <v>1</v>
      </c>
      <c r="H91" s="17" t="inlineStr">
        <is>
          <t>https://www.detmir.ru/product/index/id/6643629/</t>
        </is>
      </c>
      <c r="I91" s="8" t="inlineStr">
        <is>
          <t>amort</t>
        </is>
      </c>
      <c r="J91" s="18">
        <f>IF(F91="год",1,IF(F91="месяц",MonthsYear,IF(F91="неделя",WeeksYear,0)))</f>
        <v/>
      </c>
      <c r="K91" s="19">
        <f>IF(N(E91)&gt;0,C91*D91/E91,C91*D91*J91)</f>
        <v/>
      </c>
      <c r="L91" s="19">
        <f>IF(G91=0,0,K91/G91)</f>
        <v/>
      </c>
      <c r="M91" s="19">
        <f>IF(L91=0,0,L91/MonthsYear)</f>
        <v/>
      </c>
    </row>
    <row r="92" ht="18" customHeight="1">
      <c r="A92" s="8" t="inlineStr">
        <is>
          <t>school_ward</t>
        </is>
      </c>
      <c r="B92" s="7" t="inlineStr">
        <is>
          <t>Рубашка школьная</t>
        </is>
      </c>
      <c r="C92" s="13" t="n">
        <v>2</v>
      </c>
      <c r="D92" s="16" t="n">
        <v>2000</v>
      </c>
      <c r="E92" s="13" t="n">
        <v>1</v>
      </c>
      <c r="F92" s="13" t="inlineStr"/>
      <c r="G92" s="15" t="n">
        <v>1</v>
      </c>
      <c r="H92" s="17" t="inlineStr">
        <is>
          <t>https://orby.ru/c/shkolnaya-forma-dlya-malchikov/</t>
        </is>
      </c>
      <c r="I92" s="8" t="inlineStr">
        <is>
          <t>amort</t>
        </is>
      </c>
      <c r="J92" s="18">
        <f>IF(F92="год",1,IF(F92="месяц",MonthsYear,IF(F92="неделя",WeeksYear,0)))</f>
        <v/>
      </c>
      <c r="K92" s="19">
        <f>IF(N(E92)&gt;0,C92*D92/E92,C92*D92*J92)</f>
        <v/>
      </c>
      <c r="L92" s="19">
        <f>IF(G92=0,0,K92/G92)</f>
        <v/>
      </c>
      <c r="M92" s="19">
        <f>IF(L92=0,0,L92/MonthsYear)</f>
        <v/>
      </c>
    </row>
    <row r="93" ht="18" customHeight="1">
      <c r="A93" s="8" t="inlineStr">
        <is>
          <t>school_ward</t>
        </is>
      </c>
      <c r="B93" s="7" t="inlineStr">
        <is>
          <t>Сменная обувь</t>
        </is>
      </c>
      <c r="C93" s="13" t="n">
        <v>1</v>
      </c>
      <c r="D93" s="16" t="n">
        <v>1800</v>
      </c>
      <c r="E93" s="13" t="n">
        <v>1</v>
      </c>
      <c r="F93" s="13" t="inlineStr"/>
      <c r="G93" s="15" t="n">
        <v>1</v>
      </c>
      <c r="H93" s="17" t="inlineStr">
        <is>
          <t>https://www.sportmaster.ru/catalog/deti/obuv/krossovki_kedy/</t>
        </is>
      </c>
      <c r="I93" s="8" t="inlineStr">
        <is>
          <t>amort</t>
        </is>
      </c>
      <c r="J93" s="18">
        <f>IF(F93="год",1,IF(F93="месяц",MonthsYear,IF(F93="неделя",WeeksYear,0)))</f>
        <v/>
      </c>
      <c r="K93" s="19">
        <f>IF(N(E93)&gt;0,C93*D93/E93,C93*D93*J93)</f>
        <v/>
      </c>
      <c r="L93" s="19">
        <f>IF(G93=0,0,K93/G93)</f>
        <v/>
      </c>
      <c r="M93" s="19">
        <f>IF(L93=0,0,L93/MonthsYear)</f>
        <v/>
      </c>
    </row>
    <row r="94" ht="18" customHeight="1">
      <c r="A94" s="8" t="inlineStr">
        <is>
          <t>school_ward</t>
        </is>
      </c>
      <c r="B94" s="7" t="inlineStr">
        <is>
          <t>Туфли</t>
        </is>
      </c>
      <c r="C94" s="13" t="n">
        <v>1</v>
      </c>
      <c r="D94" s="16" t="n">
        <v>1599</v>
      </c>
      <c r="E94" s="13" t="n">
        <v>1</v>
      </c>
      <c r="F94" s="13" t="inlineStr"/>
      <c r="G94" s="15" t="n">
        <v>1</v>
      </c>
      <c r="H94" s="17" t="inlineStr">
        <is>
          <t>https://www.detmir.ru/product/index/id/7077779/</t>
        </is>
      </c>
      <c r="I94" s="8" t="inlineStr">
        <is>
          <t>amort</t>
        </is>
      </c>
      <c r="J94" s="18">
        <f>IF(F94="год",1,IF(F94="месяц",MonthsYear,IF(F94="неделя",WeeksYear,0)))</f>
        <v/>
      </c>
      <c r="K94" s="19">
        <f>IF(N(E94)&gt;0,C94*D94/E94,C94*D94*J94)</f>
        <v/>
      </c>
      <c r="L94" s="19">
        <f>IF(G94=0,0,K94/G94)</f>
        <v/>
      </c>
      <c r="M94" s="19">
        <f>IF(L94=0,0,L94/MonthsYear)</f>
        <v/>
      </c>
    </row>
    <row r="95" ht="18" customHeight="1">
      <c r="A95" s="8" t="inlineStr">
        <is>
          <t>school_ward</t>
        </is>
      </c>
      <c r="B95" s="7" t="inlineStr">
        <is>
          <t>Кроссовки на физкультуру</t>
        </is>
      </c>
      <c r="C95" s="13" t="n">
        <v>1</v>
      </c>
      <c r="D95" s="16" t="n">
        <v>2499</v>
      </c>
      <c r="E95" s="13" t="n">
        <v>1</v>
      </c>
      <c r="F95" s="13" t="inlineStr"/>
      <c r="G95" s="15" t="n">
        <v>1</v>
      </c>
      <c r="H95" s="17" t="inlineStr">
        <is>
          <t>https://www.detmir.ru/product/index/id/7076432/</t>
        </is>
      </c>
      <c r="I95" s="8" t="inlineStr">
        <is>
          <t>amort</t>
        </is>
      </c>
      <c r="J95" s="18">
        <f>IF(F95="год",1,IF(F95="месяц",MonthsYear,IF(F95="неделя",WeeksYear,0)))</f>
        <v/>
      </c>
      <c r="K95" s="19">
        <f>IF(N(E95)&gt;0,C95*D95/E95,C95*D95*J95)</f>
        <v/>
      </c>
      <c r="L95" s="19">
        <f>IF(G95=0,0,K95/G95)</f>
        <v/>
      </c>
      <c r="M95" s="19">
        <f>IF(L95=0,0,L95/MonthsYear)</f>
        <v/>
      </c>
    </row>
    <row r="96" ht="18" customHeight="1">
      <c r="A96" s="8" t="inlineStr">
        <is>
          <t>school_ward</t>
        </is>
      </c>
      <c r="B96" s="7" t="inlineStr">
        <is>
          <t>Галстук</t>
        </is>
      </c>
      <c r="C96" s="13" t="n">
        <v>1</v>
      </c>
      <c r="D96" s="16" t="n">
        <v>299</v>
      </c>
      <c r="E96" s="13" t="n">
        <v>2</v>
      </c>
      <c r="F96" s="13" t="inlineStr"/>
      <c r="G96" s="15" t="n">
        <v>1</v>
      </c>
      <c r="H96" s="17" t="inlineStr">
        <is>
          <t>https://www.detmir.ru/catalog/index/name/neckties/</t>
        </is>
      </c>
      <c r="I96" s="8" t="inlineStr">
        <is>
          <t>amort</t>
        </is>
      </c>
      <c r="J96" s="18">
        <f>IF(F96="год",1,IF(F96="месяц",MonthsYear,IF(F96="неделя",WeeksYear,0)))</f>
        <v/>
      </c>
      <c r="K96" s="19">
        <f>IF(N(E96)&gt;0,C96*D96/E96,C96*D96*J96)</f>
        <v/>
      </c>
      <c r="L96" s="19">
        <f>IF(G96=0,0,K96/G96)</f>
        <v/>
      </c>
      <c r="M96" s="19">
        <f>IF(L96=0,0,L96/MonthsYear)</f>
        <v/>
      </c>
    </row>
    <row r="97" ht="18" customHeight="1">
      <c r="A97" s="8" t="inlineStr">
        <is>
          <t>school_ward</t>
        </is>
      </c>
      <c r="B97" s="7" t="inlineStr">
        <is>
          <t>Ремень</t>
        </is>
      </c>
      <c r="C97" s="13" t="n">
        <v>1</v>
      </c>
      <c r="D97" s="16" t="n">
        <v>399</v>
      </c>
      <c r="E97" s="13" t="n">
        <v>2</v>
      </c>
      <c r="F97" s="13" t="inlineStr"/>
      <c r="G97" s="15" t="n">
        <v>1</v>
      </c>
      <c r="H97" s="17" t="inlineStr">
        <is>
          <t>https://www.detmir.ru/catalog/index/name/straps/pol-malchik/</t>
        </is>
      </c>
      <c r="I97" s="8" t="inlineStr">
        <is>
          <t>amort</t>
        </is>
      </c>
      <c r="J97" s="18">
        <f>IF(F97="год",1,IF(F97="месяц",MonthsYear,IF(F97="неделя",WeeksYear,0)))</f>
        <v/>
      </c>
      <c r="K97" s="19">
        <f>IF(N(E97)&gt;0,C97*D97/E97,C97*D97*J97)</f>
        <v/>
      </c>
      <c r="L97" s="19">
        <f>IF(G97=0,0,K97/G97)</f>
        <v/>
      </c>
      <c r="M97" s="19">
        <f>IF(L97=0,0,L97/MonthsYear)</f>
        <v/>
      </c>
    </row>
    <row r="98" ht="18" customHeight="1">
      <c r="A98" s="8" t="inlineStr">
        <is>
          <t>school_ward</t>
        </is>
      </c>
      <c r="B98" s="7" t="inlineStr">
        <is>
          <t>Спортивная форма школьная</t>
        </is>
      </c>
      <c r="C98" s="13" t="n">
        <v>1</v>
      </c>
      <c r="D98" s="16" t="n">
        <v>1999</v>
      </c>
      <c r="E98" s="13" t="n">
        <v>2</v>
      </c>
      <c r="F98" s="13" t="inlineStr"/>
      <c r="G98" s="15" t="n">
        <v>1</v>
      </c>
      <c r="H98" s="17" t="inlineStr">
        <is>
          <t>https://www.detmir.ru/product/index/id/7069266/</t>
        </is>
      </c>
      <c r="I98" s="8" t="inlineStr">
        <is>
          <t>amort</t>
        </is>
      </c>
      <c r="J98" s="18">
        <f>IF(F98="год",1,IF(F98="месяц",MonthsYear,IF(F98="неделя",WeeksYear,0)))</f>
        <v/>
      </c>
      <c r="K98" s="19">
        <f>IF(N(E98)&gt;0,C98*D98/E98,C98*D98*J98)</f>
        <v/>
      </c>
      <c r="L98" s="19">
        <f>IF(G98=0,0,K98/G98)</f>
        <v/>
      </c>
      <c r="M98" s="19">
        <f>IF(L98=0,0,L98/MonthsYear)</f>
        <v/>
      </c>
    </row>
    <row r="99" ht="18" customHeight="1">
      <c r="A99" s="8" t="inlineStr">
        <is>
          <t>school_stuff</t>
        </is>
      </c>
      <c r="B99" s="7" t="inlineStr">
        <is>
          <t>Рюкзак школьный</t>
        </is>
      </c>
      <c r="C99" s="13" t="n">
        <v>1</v>
      </c>
      <c r="D99" s="16" t="n">
        <v>3499</v>
      </c>
      <c r="E99" s="13" t="n">
        <v>3</v>
      </c>
      <c r="F99" s="13" t="inlineStr"/>
      <c r="G99" s="15" t="n">
        <v>1</v>
      </c>
      <c r="H99" s="17" t="inlineStr">
        <is>
          <t>https://www.detmir.ru/product/index/id/6391235/</t>
        </is>
      </c>
      <c r="I99" s="8" t="inlineStr">
        <is>
          <t>amort</t>
        </is>
      </c>
      <c r="J99" s="18">
        <f>IF(F99="год",1,IF(F99="месяц",MonthsYear,IF(F99="неделя",WeeksYear,0)))</f>
        <v/>
      </c>
      <c r="K99" s="19">
        <f>IF(N(E99)&gt;0,C99*D99/E99,C99*D99*J99)</f>
        <v/>
      </c>
      <c r="L99" s="19">
        <f>IF(G99=0,0,K99/G99)</f>
        <v/>
      </c>
      <c r="M99" s="19">
        <f>IF(L99=0,0,L99/MonthsYear)</f>
        <v/>
      </c>
    </row>
    <row r="100" ht="18" customHeight="1">
      <c r="A100" s="8" t="inlineStr">
        <is>
          <t>school_stuff</t>
        </is>
      </c>
      <c r="B100" s="7" t="inlineStr">
        <is>
          <t>Сумка для обуви</t>
        </is>
      </c>
      <c r="C100" s="13" t="n">
        <v>1</v>
      </c>
      <c r="D100" s="16" t="n">
        <v>269</v>
      </c>
      <c r="E100" s="13" t="n">
        <v>2</v>
      </c>
      <c r="F100" s="13" t="inlineStr"/>
      <c r="G100" s="15" t="n">
        <v>1</v>
      </c>
      <c r="H100" s="17" t="inlineStr">
        <is>
          <t>https://www.detmir.ru/product/index/id/6622893/</t>
        </is>
      </c>
      <c r="I100" s="8" t="inlineStr">
        <is>
          <t>amort</t>
        </is>
      </c>
      <c r="J100" s="18">
        <f>IF(F100="год",1,IF(F100="месяц",MonthsYear,IF(F100="неделя",WeeksYear,0)))</f>
        <v/>
      </c>
      <c r="K100" s="19">
        <f>IF(N(E100)&gt;0,C100*D100/E100,C100*D100*J100)</f>
        <v/>
      </c>
      <c r="L100" s="19">
        <f>IF(G100=0,0,K100/G100)</f>
        <v/>
      </c>
      <c r="M100" s="19">
        <f>IF(L100=0,0,L100/MonthsYear)</f>
        <v/>
      </c>
    </row>
    <row r="101" ht="18" customHeight="1">
      <c r="A101" s="8" t="inlineStr">
        <is>
          <t>school_stuff</t>
        </is>
      </c>
      <c r="B101" s="7" t="inlineStr">
        <is>
          <t>Сумка для спортивной формы</t>
        </is>
      </c>
      <c r="C101" s="13" t="n">
        <v>1</v>
      </c>
      <c r="D101" s="16" t="n">
        <v>319</v>
      </c>
      <c r="E101" s="13" t="n">
        <v>2</v>
      </c>
      <c r="F101" s="13" t="inlineStr"/>
      <c r="G101" s="15" t="n">
        <v>1</v>
      </c>
      <c r="H101" s="17" t="inlineStr">
        <is>
          <t>https://www.detmir.ru/product/index/id/6037286/</t>
        </is>
      </c>
      <c r="I101" s="8" t="inlineStr">
        <is>
          <t>amort</t>
        </is>
      </c>
      <c r="J101" s="18">
        <f>IF(F101="год",1,IF(F101="месяц",MonthsYear,IF(F101="неделя",WeeksYear,0)))</f>
        <v/>
      </c>
      <c r="K101" s="19">
        <f>IF(N(E101)&gt;0,C101*D101/E101,C101*D101*J101)</f>
        <v/>
      </c>
      <c r="L101" s="19">
        <f>IF(G101=0,0,K101/G101)</f>
        <v/>
      </c>
      <c r="M101" s="19">
        <f>IF(L101=0,0,L101/MonthsYear)</f>
        <v/>
      </c>
    </row>
    <row r="102" ht="18" customHeight="1">
      <c r="A102" s="8" t="inlineStr">
        <is>
          <t>school_stuff</t>
        </is>
      </c>
      <c r="B102" s="7" t="inlineStr">
        <is>
          <t>Альбом для рисования</t>
        </is>
      </c>
      <c r="C102" s="13" t="n">
        <v>1</v>
      </c>
      <c r="D102" s="16" t="n">
        <v>89</v>
      </c>
      <c r="E102" s="13" t="n">
        <v>1</v>
      </c>
      <c r="F102" s="13" t="inlineStr"/>
      <c r="G102" s="15" t="n">
        <v>1</v>
      </c>
      <c r="H102" s="17" t="inlineStr">
        <is>
          <t>https://www.detmir.ru/search/results/?qt=%D0%B0%D0%BB%D1%8C%D0%B1%D0%BE%D0%BC</t>
        </is>
      </c>
      <c r="I102" s="8" t="inlineStr">
        <is>
          <t>amort</t>
        </is>
      </c>
      <c r="J102" s="18">
        <f>IF(F102="год",1,IF(F102="месяц",MonthsYear,IF(F102="неделя",WeeksYear,0)))</f>
        <v/>
      </c>
      <c r="K102" s="19">
        <f>IF(N(E102)&gt;0,C102*D102/E102,C102*D102*J102)</f>
        <v/>
      </c>
      <c r="L102" s="19">
        <f>IF(G102=0,0,K102/G102)</f>
        <v/>
      </c>
      <c r="M102" s="19">
        <f>IF(L102=0,0,L102/MonthsYear)</f>
        <v/>
      </c>
    </row>
    <row r="103" ht="18" customHeight="1">
      <c r="A103" s="8" t="inlineStr">
        <is>
          <t>school_stuff</t>
        </is>
      </c>
      <c r="B103" s="7" t="inlineStr">
        <is>
          <t>Готовальня</t>
        </is>
      </c>
      <c r="C103" s="13" t="n">
        <v>1</v>
      </c>
      <c r="D103" s="16" t="n">
        <v>349</v>
      </c>
      <c r="E103" s="13" t="n">
        <v>1</v>
      </c>
      <c r="F103" s="13" t="inlineStr"/>
      <c r="G103" s="15" t="n">
        <v>1</v>
      </c>
      <c r="H103" s="17" t="inlineStr">
        <is>
          <t>https://www.detmir.ru/catalog/index/name/cyrkuli/tip_cherchenie-gotovalnya/</t>
        </is>
      </c>
      <c r="I103" s="8" t="inlineStr">
        <is>
          <t>amort</t>
        </is>
      </c>
      <c r="J103" s="18">
        <f>IF(F103="год",1,IF(F103="месяц",MonthsYear,IF(F103="неделя",WeeksYear,0)))</f>
        <v/>
      </c>
      <c r="K103" s="19">
        <f>IF(N(E103)&gt;0,C103*D103/E103,C103*D103*J103)</f>
        <v/>
      </c>
      <c r="L103" s="19">
        <f>IF(G103=0,0,K103/G103)</f>
        <v/>
      </c>
      <c r="M103" s="19">
        <f>IF(L103=0,0,L103/MonthsYear)</f>
        <v/>
      </c>
    </row>
    <row r="104" ht="18" customHeight="1">
      <c r="A104" s="8" t="inlineStr">
        <is>
          <t>school_stuff</t>
        </is>
      </c>
      <c r="B104" s="7" t="inlineStr">
        <is>
          <t>Гуашь 12 цв.</t>
        </is>
      </c>
      <c r="C104" s="13" t="n">
        <v>1</v>
      </c>
      <c r="D104" s="16" t="n">
        <v>239</v>
      </c>
      <c r="E104" s="13" t="n">
        <v>1</v>
      </c>
      <c r="F104" s="13" t="inlineStr"/>
      <c r="G104" s="15" t="n">
        <v>1</v>
      </c>
      <c r="H104" s="17" t="inlineStr">
        <is>
          <t>https://www.detmir.ru/product/index/id/6430833/</t>
        </is>
      </c>
      <c r="I104" s="8" t="inlineStr">
        <is>
          <t>amort</t>
        </is>
      </c>
      <c r="J104" s="18">
        <f>IF(F104="год",1,IF(F104="месяц",MonthsYear,IF(F104="неделя",WeeksYear,0)))</f>
        <v/>
      </c>
      <c r="K104" s="19">
        <f>IF(N(E104)&gt;0,C104*D104/E104,C104*D104*J104)</f>
        <v/>
      </c>
      <c r="L104" s="19">
        <f>IF(G104=0,0,K104/G104)</f>
        <v/>
      </c>
      <c r="M104" s="19">
        <f>IF(L104=0,0,L104/MonthsYear)</f>
        <v/>
      </c>
    </row>
    <row r="105" ht="18" customHeight="1">
      <c r="A105" s="8" t="inlineStr">
        <is>
          <t>school_stuff</t>
        </is>
      </c>
      <c r="B105" s="7" t="inlineStr">
        <is>
          <t>Дневник</t>
        </is>
      </c>
      <c r="C105" s="13" t="n">
        <v>1</v>
      </c>
      <c r="D105" s="16" t="n">
        <v>329</v>
      </c>
      <c r="E105" s="13" t="n">
        <v>1</v>
      </c>
      <c r="F105" s="13" t="inlineStr"/>
      <c r="G105" s="15" t="n">
        <v>1</v>
      </c>
      <c r="H105" s="17" t="inlineStr">
        <is>
          <t>https://www.detmir.ru/product/index/id/6462321/</t>
        </is>
      </c>
      <c r="I105" s="8" t="inlineStr">
        <is>
          <t>amort</t>
        </is>
      </c>
      <c r="J105" s="18">
        <f>IF(F105="год",1,IF(F105="месяц",MonthsYear,IF(F105="неделя",WeeksYear,0)))</f>
        <v/>
      </c>
      <c r="K105" s="19">
        <f>IF(N(E105)&gt;0,C105*D105/E105,C105*D105*J105)</f>
        <v/>
      </c>
      <c r="L105" s="19">
        <f>IF(G105=0,0,K105/G105)</f>
        <v/>
      </c>
      <c r="M105" s="19">
        <f>IF(L105=0,0,L105/MonthsYear)</f>
        <v/>
      </c>
    </row>
    <row r="106" ht="18" customHeight="1">
      <c r="A106" s="8" t="inlineStr">
        <is>
          <t>school_stuff</t>
        </is>
      </c>
      <c r="B106" s="7" t="inlineStr">
        <is>
          <t>Доска для пластилина</t>
        </is>
      </c>
      <c r="C106" s="13" t="n">
        <v>1</v>
      </c>
      <c r="D106" s="16" t="n">
        <v>49</v>
      </c>
      <c r="E106" s="13" t="n">
        <v>1</v>
      </c>
      <c r="F106" s="13" t="inlineStr"/>
      <c r="G106" s="15" t="n">
        <v>1</v>
      </c>
      <c r="H106" s="17" t="inlineStr">
        <is>
          <t>https://www.detmir.ru/search/results/?qt=%D0%B4%D0%BE%D1%81%D0%BA%D0%B0%20%D0%B4%D0%BB%D1%8F%20%D0%BB%D0%B5%D0%BF%D0%BA%D0%B8</t>
        </is>
      </c>
      <c r="I106" s="8" t="inlineStr">
        <is>
          <t>amort</t>
        </is>
      </c>
      <c r="J106" s="18">
        <f>IF(F106="год",1,IF(F106="месяц",MonthsYear,IF(F106="неделя",WeeksYear,0)))</f>
        <v/>
      </c>
      <c r="K106" s="19">
        <f>IF(N(E106)&gt;0,C106*D106/E106,C106*D106*J106)</f>
        <v/>
      </c>
      <c r="L106" s="19">
        <f>IF(G106=0,0,K106/G106)</f>
        <v/>
      </c>
      <c r="M106" s="19">
        <f>IF(L106=0,0,L106/MonthsYear)</f>
        <v/>
      </c>
    </row>
    <row r="107" ht="18" customHeight="1">
      <c r="A107" s="8" t="inlineStr">
        <is>
          <t>school_stuff</t>
        </is>
      </c>
      <c r="B107" s="7" t="inlineStr">
        <is>
          <t>Закладки</t>
        </is>
      </c>
      <c r="C107" s="13" t="n">
        <v>3</v>
      </c>
      <c r="D107" s="16" t="n">
        <v>39</v>
      </c>
      <c r="E107" s="13" t="n">
        <v>1</v>
      </c>
      <c r="F107" s="13" t="inlineStr"/>
      <c r="G107" s="15" t="n">
        <v>1</v>
      </c>
      <c r="H107" s="17" t="inlineStr">
        <is>
          <t>https://www.detmir.ru/search/results/?qt=%D0%B7%D0%B0%D0%BA%D0%BB%D0%B0%D0%B4%D0%BA%D0%B8%20%D0%B4%D0%BB%D1%8F%20%D0%BA%D0%BD%D0%B8%D0%B3</t>
        </is>
      </c>
      <c r="I107" s="8" t="inlineStr">
        <is>
          <t>amort</t>
        </is>
      </c>
      <c r="J107" s="18">
        <f>IF(F107="год",1,IF(F107="месяц",MonthsYear,IF(F107="неделя",WeeksYear,0)))</f>
        <v/>
      </c>
      <c r="K107" s="19">
        <f>IF(N(E107)&gt;0,C107*D107/E107,C107*D107*J107)</f>
        <v/>
      </c>
      <c r="L107" s="19">
        <f>IF(G107=0,0,K107/G107)</f>
        <v/>
      </c>
      <c r="M107" s="19">
        <f>IF(L107=0,0,L107/MonthsYear)</f>
        <v/>
      </c>
    </row>
    <row r="108" ht="18" customHeight="1">
      <c r="A108" s="8" t="inlineStr">
        <is>
          <t>school_stuff</t>
        </is>
      </c>
      <c r="B108" s="7" t="inlineStr">
        <is>
          <t>Карандаш простой HB</t>
        </is>
      </c>
      <c r="C108" s="13" t="n">
        <v>10</v>
      </c>
      <c r="D108" s="16" t="n">
        <v>20</v>
      </c>
      <c r="E108" s="13" t="n">
        <v>1</v>
      </c>
      <c r="F108" s="13" t="inlineStr"/>
      <c r="G108" s="15" t="n">
        <v>1</v>
      </c>
      <c r="H108" s="17" t="inlineStr">
        <is>
          <t>https://www.detmir.ru/search/results/?qt=%D0%BA%D0%B0%D1%80%D0%B0%D0%BD%D0%B4%D0%B0%D1%88%20HB</t>
        </is>
      </c>
      <c r="I108" s="8" t="inlineStr">
        <is>
          <t>amort</t>
        </is>
      </c>
      <c r="J108" s="18">
        <f>IF(F108="год",1,IF(F108="месяц",MonthsYear,IF(F108="неделя",WeeksYear,0)))</f>
        <v/>
      </c>
      <c r="K108" s="19">
        <f>IF(N(E108)&gt;0,C108*D108/E108,C108*D108*J108)</f>
        <v/>
      </c>
      <c r="L108" s="19">
        <f>IF(G108=0,0,K108/G108)</f>
        <v/>
      </c>
      <c r="M108" s="19">
        <f>IF(L108=0,0,L108/MonthsYear)</f>
        <v/>
      </c>
    </row>
    <row r="109" ht="18" customHeight="1">
      <c r="A109" s="8" t="inlineStr">
        <is>
          <t>school_stuff</t>
        </is>
      </c>
      <c r="B109" s="7" t="inlineStr">
        <is>
          <t>Карандаши цветные 36</t>
        </is>
      </c>
      <c r="C109" s="13" t="n">
        <v>2</v>
      </c>
      <c r="D109" s="16" t="n">
        <v>328</v>
      </c>
      <c r="E109" s="13" t="n">
        <v>1</v>
      </c>
      <c r="F109" s="13" t="inlineStr"/>
      <c r="G109" s="15" t="n">
        <v>1</v>
      </c>
      <c r="H109" s="17" t="inlineStr">
        <is>
          <t>https://www.detmir.ru/product/index/id/6016009/</t>
        </is>
      </c>
      <c r="I109" s="8" t="inlineStr">
        <is>
          <t>amort</t>
        </is>
      </c>
      <c r="J109" s="18">
        <f>IF(F109="год",1,IF(F109="месяц",MonthsYear,IF(F109="неделя",WeeksYear,0)))</f>
        <v/>
      </c>
      <c r="K109" s="19">
        <f>IF(N(E109)&gt;0,C109*D109/E109,C109*D109*J109)</f>
        <v/>
      </c>
      <c r="L109" s="19">
        <f>IF(G109=0,0,K109/G109)</f>
        <v/>
      </c>
      <c r="M109" s="19">
        <f>IF(L109=0,0,L109/MonthsYear)</f>
        <v/>
      </c>
    </row>
    <row r="110" ht="18" customHeight="1">
      <c r="A110" s="8" t="inlineStr">
        <is>
          <t>school_stuff</t>
        </is>
      </c>
      <c r="B110" s="7" t="inlineStr">
        <is>
          <t>Картон цветной</t>
        </is>
      </c>
      <c r="C110" s="13" t="n">
        <v>1</v>
      </c>
      <c r="D110" s="16" t="n">
        <v>89</v>
      </c>
      <c r="E110" s="13" t="n">
        <v>1</v>
      </c>
      <c r="F110" s="13" t="inlineStr"/>
      <c r="G110" s="15" t="n">
        <v>1</v>
      </c>
      <c r="H110" s="17" t="inlineStr">
        <is>
          <t>https://www.detmir.ru/search/results/?qt=%D0%BA%D0%B0%D1%80%D1%82%D0%BE%D0%BD%20%D1%86%D0%B2%D0%B5%D1%82%D0%BD%D0%BE%D0%B9</t>
        </is>
      </c>
      <c r="I110" s="8" t="inlineStr">
        <is>
          <t>amort</t>
        </is>
      </c>
      <c r="J110" s="18">
        <f>IF(F110="год",1,IF(F110="месяц",MonthsYear,IF(F110="неделя",WeeksYear,0)))</f>
        <v/>
      </c>
      <c r="K110" s="19">
        <f>IF(N(E110)&gt;0,C110*D110/E110,C110*D110*J110)</f>
        <v/>
      </c>
      <c r="L110" s="19">
        <f>IF(G110=0,0,K110/G110)</f>
        <v/>
      </c>
      <c r="M110" s="19">
        <f>IF(L110=0,0,L110/MonthsYear)</f>
        <v/>
      </c>
    </row>
    <row r="111" ht="18" customHeight="1">
      <c r="A111" s="8" t="inlineStr">
        <is>
          <t>school_stuff</t>
        </is>
      </c>
      <c r="B111" s="7" t="inlineStr">
        <is>
          <t>Клей ПВА</t>
        </is>
      </c>
      <c r="C111" s="13" t="n">
        <v>2</v>
      </c>
      <c r="D111" s="16" t="n">
        <v>79</v>
      </c>
      <c r="E111" s="13" t="n">
        <v>1</v>
      </c>
      <c r="F111" s="13" t="inlineStr"/>
      <c r="G111" s="15" t="n">
        <v>1</v>
      </c>
      <c r="H111" s="17" t="inlineStr">
        <is>
          <t>https://www.detmir.ru/search/results/?qt=%D0%BA%D0%BB%D0%B5%D0%B9%20%D0%9F%D0%92%D0%90</t>
        </is>
      </c>
      <c r="I111" s="8" t="inlineStr">
        <is>
          <t>amort</t>
        </is>
      </c>
      <c r="J111" s="18">
        <f>IF(F111="год",1,IF(F111="месяц",MonthsYear,IF(F111="неделя",WeeksYear,0)))</f>
        <v/>
      </c>
      <c r="K111" s="19">
        <f>IF(N(E111)&gt;0,C111*D111/E111,C111*D111*J111)</f>
        <v/>
      </c>
      <c r="L111" s="19">
        <f>IF(G111=0,0,K111/G111)</f>
        <v/>
      </c>
      <c r="M111" s="19">
        <f>IF(L111=0,0,L111/MonthsYear)</f>
        <v/>
      </c>
    </row>
    <row r="112" ht="18" customHeight="1">
      <c r="A112" s="8" t="inlineStr">
        <is>
          <t>school_stuff</t>
        </is>
      </c>
      <c r="B112" s="7" t="inlineStr">
        <is>
          <t>Клей-карандаш</t>
        </is>
      </c>
      <c r="C112" s="13" t="n">
        <v>2</v>
      </c>
      <c r="D112" s="16" t="n">
        <v>59</v>
      </c>
      <c r="E112" s="13" t="n">
        <v>1</v>
      </c>
      <c r="F112" s="13" t="inlineStr"/>
      <c r="G112" s="15" t="n">
        <v>1</v>
      </c>
      <c r="H112" s="17" t="inlineStr">
        <is>
          <t>https://www.detmir.ru/search/results/?qt=%D0%BA%D0%BB%D0%B5%D0%B9-%D0%BA%D0%B0%D1%80%D0%B0%D0%BD%D0%B4%D0%B0%D1%88</t>
        </is>
      </c>
      <c r="I112" s="8" t="inlineStr">
        <is>
          <t>amort</t>
        </is>
      </c>
      <c r="J112" s="18">
        <f>IF(F112="год",1,IF(F112="месяц",MonthsYear,IF(F112="неделя",WeeksYear,0)))</f>
        <v/>
      </c>
      <c r="K112" s="19">
        <f>IF(N(E112)&gt;0,C112*D112/E112,C112*D112*J112)</f>
        <v/>
      </c>
      <c r="L112" s="19">
        <f>IF(G112=0,0,K112/G112)</f>
        <v/>
      </c>
      <c r="M112" s="19">
        <f>IF(L112=0,0,L112/MonthsYear)</f>
        <v/>
      </c>
    </row>
    <row r="113" ht="18" customHeight="1">
      <c r="A113" s="8" t="inlineStr">
        <is>
          <t>school_stuff</t>
        </is>
      </c>
      <c r="B113" s="7" t="inlineStr">
        <is>
          <t>Корректор</t>
        </is>
      </c>
      <c r="C113" s="13" t="n">
        <v>2</v>
      </c>
      <c r="D113" s="16" t="n">
        <v>59</v>
      </c>
      <c r="E113" s="13" t="n">
        <v>1</v>
      </c>
      <c r="F113" s="13" t="inlineStr"/>
      <c r="G113" s="15" t="n">
        <v>1</v>
      </c>
      <c r="H113" s="17" t="inlineStr">
        <is>
          <t>https://www.detmir.ru/search/results/?qt=%D0%BA%D0%BE%D1%80%D1%80%D0%B5%D0%BA%D1%82%D0%BE%D1%80%20%D1%88%D0%BA%D0%BE%D0%BB%D1%8C%D0%BD%D1%8B%D0%B9</t>
        </is>
      </c>
      <c r="I113" s="8" t="inlineStr">
        <is>
          <t>amort</t>
        </is>
      </c>
      <c r="J113" s="18">
        <f>IF(F113="год",1,IF(F113="месяц",MonthsYear,IF(F113="неделя",WeeksYear,0)))</f>
        <v/>
      </c>
      <c r="K113" s="19">
        <f>IF(N(E113)&gt;0,C113*D113/E113,C113*D113*J113)</f>
        <v/>
      </c>
      <c r="L113" s="19">
        <f>IF(G113=0,0,K113/G113)</f>
        <v/>
      </c>
      <c r="M113" s="19">
        <f>IF(L113=0,0,L113/MonthsYear)</f>
        <v/>
      </c>
    </row>
    <row r="114" ht="18" customHeight="1">
      <c r="A114" s="8" t="inlineStr">
        <is>
          <t>school_stuff</t>
        </is>
      </c>
      <c r="B114" s="7" t="inlineStr">
        <is>
          <t>Ластик</t>
        </is>
      </c>
      <c r="C114" s="13" t="n">
        <v>3</v>
      </c>
      <c r="D114" s="16" t="n">
        <v>39</v>
      </c>
      <c r="E114" s="13" t="n">
        <v>1</v>
      </c>
      <c r="F114" s="13" t="inlineStr"/>
      <c r="G114" s="15" t="n">
        <v>1</v>
      </c>
      <c r="H114" s="17" t="inlineStr">
        <is>
          <t>https://www.detmir.ru/search/results/?qt=%D0%BB%D0%B0%D1%81%D1%82%D0%B8%D0%BA</t>
        </is>
      </c>
      <c r="I114" s="8" t="inlineStr">
        <is>
          <t>amort</t>
        </is>
      </c>
      <c r="J114" s="18">
        <f>IF(F114="год",1,IF(F114="месяц",MonthsYear,IF(F114="неделя",WeeksYear,0)))</f>
        <v/>
      </c>
      <c r="K114" s="19">
        <f>IF(N(E114)&gt;0,C114*D114/E114,C114*D114*J114)</f>
        <v/>
      </c>
      <c r="L114" s="19">
        <f>IF(G114=0,0,K114/G114)</f>
        <v/>
      </c>
      <c r="M114" s="19">
        <f>IF(L114=0,0,L114/MonthsYear)</f>
        <v/>
      </c>
    </row>
    <row r="115" ht="18" customHeight="1">
      <c r="A115" s="8" t="inlineStr">
        <is>
          <t>school_stuff</t>
        </is>
      </c>
      <c r="B115" s="7" t="inlineStr">
        <is>
          <t>Линейка</t>
        </is>
      </c>
      <c r="C115" s="13" t="n">
        <v>1</v>
      </c>
      <c r="D115" s="16" t="n">
        <v>39</v>
      </c>
      <c r="E115" s="13" t="n">
        <v>1</v>
      </c>
      <c r="F115" s="13" t="inlineStr"/>
      <c r="G115" s="15" t="n">
        <v>1</v>
      </c>
      <c r="H115" s="17" t="inlineStr">
        <is>
          <t>https://www.detmir.ru/search/results/?qt=%D0%BB%D0%B8%D0%BD%D0%B5%D0%B9%D0%BA%D0%B0%2020</t>
        </is>
      </c>
      <c r="I115" s="8" t="inlineStr">
        <is>
          <t>amort</t>
        </is>
      </c>
      <c r="J115" s="18">
        <f>IF(F115="год",1,IF(F115="месяц",MonthsYear,IF(F115="неделя",WeeksYear,0)))</f>
        <v/>
      </c>
      <c r="K115" s="19">
        <f>IF(N(E115)&gt;0,C115*D115/E115,C115*D115*J115)</f>
        <v/>
      </c>
      <c r="L115" s="19">
        <f>IF(G115=0,0,K115/G115)</f>
        <v/>
      </c>
      <c r="M115" s="19">
        <f>IF(L115=0,0,L115/MonthsYear)</f>
        <v/>
      </c>
    </row>
    <row r="116" ht="18" customHeight="1">
      <c r="A116" s="8" t="inlineStr">
        <is>
          <t>school_stuff</t>
        </is>
      </c>
      <c r="B116" s="7" t="inlineStr">
        <is>
          <t>Набор кистей</t>
        </is>
      </c>
      <c r="C116" s="13" t="n">
        <v>1</v>
      </c>
      <c r="D116" s="16" t="n">
        <v>99</v>
      </c>
      <c r="E116" s="13" t="n">
        <v>1</v>
      </c>
      <c r="F116" s="13" t="inlineStr"/>
      <c r="G116" s="15" t="n">
        <v>1</v>
      </c>
      <c r="H116" s="17" t="inlineStr">
        <is>
          <t>https://www.detmir.ru/search/results/?qt=%D0%BA%D0%B8%D1%81%D1%82%D0%B8</t>
        </is>
      </c>
      <c r="I116" s="8" t="inlineStr">
        <is>
          <t>amort</t>
        </is>
      </c>
      <c r="J116" s="18">
        <f>IF(F116="год",1,IF(F116="месяц",MonthsYear,IF(F116="неделя",WeeksYear,0)))</f>
        <v/>
      </c>
      <c r="K116" s="19">
        <f>IF(N(E116)&gt;0,C116*D116/E116,C116*D116*J116)</f>
        <v/>
      </c>
      <c r="L116" s="19">
        <f>IF(G116=0,0,K116/G116)</f>
        <v/>
      </c>
      <c r="M116" s="19">
        <f>IF(L116=0,0,L116/MonthsYear)</f>
        <v/>
      </c>
    </row>
    <row r="117" ht="18" customHeight="1">
      <c r="A117" s="8" t="inlineStr">
        <is>
          <t>school_stuff</t>
        </is>
      </c>
      <c r="B117" s="7" t="inlineStr">
        <is>
          <t>Набор обложек</t>
        </is>
      </c>
      <c r="C117" s="13" t="n">
        <v>2</v>
      </c>
      <c r="D117" s="16" t="n">
        <v>179</v>
      </c>
      <c r="E117" s="13" t="n">
        <v>1</v>
      </c>
      <c r="F117" s="13" t="inlineStr"/>
      <c r="G117" s="15" t="n">
        <v>1</v>
      </c>
      <c r="H117" s="17" t="inlineStr">
        <is>
          <t>https://www.detmir.ru/product/index/id/6724733/</t>
        </is>
      </c>
      <c r="I117" s="8" t="inlineStr">
        <is>
          <t>amort</t>
        </is>
      </c>
      <c r="J117" s="18">
        <f>IF(F117="год",1,IF(F117="месяц",MonthsYear,IF(F117="неделя",WeeksYear,0)))</f>
        <v/>
      </c>
      <c r="K117" s="19">
        <f>IF(N(E117)&gt;0,C117*D117/E117,C117*D117*J117)</f>
        <v/>
      </c>
      <c r="L117" s="19">
        <f>IF(G117=0,0,K117/G117)</f>
        <v/>
      </c>
      <c r="M117" s="19">
        <f>IF(L117=0,0,L117/MonthsYear)</f>
        <v/>
      </c>
    </row>
    <row r="118" ht="18" customHeight="1">
      <c r="A118" s="8" t="inlineStr">
        <is>
          <t>school_stuff</t>
        </is>
      </c>
      <c r="B118" s="7" t="inlineStr">
        <is>
          <t>Непроливайка</t>
        </is>
      </c>
      <c r="C118" s="13" t="n">
        <v>1</v>
      </c>
      <c r="D118" s="16" t="n">
        <v>79</v>
      </c>
      <c r="E118" s="13" t="n">
        <v>1</v>
      </c>
      <c r="F118" s="13" t="inlineStr"/>
      <c r="G118" s="15" t="n">
        <v>1</v>
      </c>
      <c r="H118" s="17" t="inlineStr">
        <is>
          <t>https://www.detmir.ru/search/results/?qt=%D0%BD%D0%B5%D0%BF%D1%80%D0%BE%D0%BB%D0%B8%D0%B2%D0%B0%D0%B9%D0%BA%D0%B0</t>
        </is>
      </c>
      <c r="I118" s="8" t="inlineStr">
        <is>
          <t>amort</t>
        </is>
      </c>
      <c r="J118" s="18">
        <f>IF(F118="год",1,IF(F118="месяц",MonthsYear,IF(F118="неделя",WeeksYear,0)))</f>
        <v/>
      </c>
      <c r="K118" s="19">
        <f>IF(N(E118)&gt;0,C118*D118/E118,C118*D118*J118)</f>
        <v/>
      </c>
      <c r="L118" s="19">
        <f>IF(G118=0,0,K118/G118)</f>
        <v/>
      </c>
      <c r="M118" s="19">
        <f>IF(L118=0,0,L118/MonthsYear)</f>
        <v/>
      </c>
    </row>
    <row r="119" ht="18" customHeight="1">
      <c r="A119" s="8" t="inlineStr">
        <is>
          <t>school_stuff</t>
        </is>
      </c>
      <c r="B119" s="7" t="inlineStr">
        <is>
          <t>Ножницы</t>
        </is>
      </c>
      <c r="C119" s="13" t="n">
        <v>1</v>
      </c>
      <c r="D119" s="16" t="n">
        <v>129</v>
      </c>
      <c r="E119" s="13" t="n">
        <v>1</v>
      </c>
      <c r="F119" s="13" t="inlineStr"/>
      <c r="G119" s="15" t="n">
        <v>1</v>
      </c>
      <c r="H119" s="17" t="inlineStr">
        <is>
          <t>https://www.detmir.ru/search/results/?qt=%D0%BD%D0%BE%D0%B6%D0%BD%D0%B8%D1%86%D1%8B%20%D0%B4%D0%B5%D1%82%D1%81%D0%BA%D0%B8%D0%B5</t>
        </is>
      </c>
      <c r="I119" s="8" t="inlineStr">
        <is>
          <t>amort</t>
        </is>
      </c>
      <c r="J119" s="18">
        <f>IF(F119="год",1,IF(F119="месяц",MonthsYear,IF(F119="неделя",WeeksYear,0)))</f>
        <v/>
      </c>
      <c r="K119" s="19">
        <f>IF(N(E119)&gt;0,C119*D119/E119,C119*D119*J119)</f>
        <v/>
      </c>
      <c r="L119" s="19">
        <f>IF(G119=0,0,K119/G119)</f>
        <v/>
      </c>
      <c r="M119" s="19">
        <f>IF(L119=0,0,L119/MonthsYear)</f>
        <v/>
      </c>
    </row>
    <row r="120" ht="18" customHeight="1">
      <c r="A120" s="8" t="inlineStr">
        <is>
          <t>school_stuff</t>
        </is>
      </c>
      <c r="B120" s="7" t="inlineStr">
        <is>
          <t>Обложка для дневника</t>
        </is>
      </c>
      <c r="C120" s="13" t="n">
        <v>1</v>
      </c>
      <c r="D120" s="16" t="n">
        <v>49</v>
      </c>
      <c r="E120" s="13" t="n">
        <v>1</v>
      </c>
      <c r="F120" s="13" t="inlineStr"/>
      <c r="G120" s="15" t="n">
        <v>1</v>
      </c>
      <c r="H120" s="17" t="inlineStr">
        <is>
          <t>https://www.detmir.ru/product/index/id/6442038/</t>
        </is>
      </c>
      <c r="I120" s="8" t="inlineStr">
        <is>
          <t>amort</t>
        </is>
      </c>
      <c r="J120" s="18">
        <f>IF(F120="год",1,IF(F120="месяц",MonthsYear,IF(F120="неделя",WeeksYear,0)))</f>
        <v/>
      </c>
      <c r="K120" s="19">
        <f>IF(N(E120)&gt;0,C120*D120/E120,C120*D120*J120)</f>
        <v/>
      </c>
      <c r="L120" s="19">
        <f>IF(G120=0,0,K120/G120)</f>
        <v/>
      </c>
      <c r="M120" s="19">
        <f>IF(L120=0,0,L120/MonthsYear)</f>
        <v/>
      </c>
    </row>
    <row r="121" ht="18" customHeight="1">
      <c r="A121" s="8" t="inlineStr">
        <is>
          <t>school_stuff</t>
        </is>
      </c>
      <c r="B121" s="7" t="inlineStr">
        <is>
          <t>Обложки для учебников</t>
        </is>
      </c>
      <c r="C121" s="13" t="n">
        <v>1</v>
      </c>
      <c r="D121" s="16" t="n">
        <v>199</v>
      </c>
      <c r="E121" s="13" t="n">
        <v>1</v>
      </c>
      <c r="F121" s="13" t="inlineStr"/>
      <c r="G121" s="15" t="n">
        <v>1</v>
      </c>
      <c r="H121" s="17" t="inlineStr">
        <is>
          <t>https://www.detmir.ru/catalog/index/name/cover_notebook/</t>
        </is>
      </c>
      <c r="I121" s="8" t="inlineStr">
        <is>
          <t>amort</t>
        </is>
      </c>
      <c r="J121" s="18">
        <f>IF(F121="год",1,IF(F121="месяц",MonthsYear,IF(F121="неделя",WeeksYear,0)))</f>
        <v/>
      </c>
      <c r="K121" s="19">
        <f>IF(N(E121)&gt;0,C121*D121/E121,C121*D121*J121)</f>
        <v/>
      </c>
      <c r="L121" s="19">
        <f>IF(G121=0,0,K121/G121)</f>
        <v/>
      </c>
      <c r="M121" s="19">
        <f>IF(L121=0,0,L121/MonthsYear)</f>
        <v/>
      </c>
    </row>
    <row r="122" ht="18" customHeight="1">
      <c r="A122" s="8" t="inlineStr">
        <is>
          <t>school_stuff</t>
        </is>
      </c>
      <c r="B122" s="7" t="inlineStr">
        <is>
          <t>Папка для тетрадей</t>
        </is>
      </c>
      <c r="C122" s="13" t="n">
        <v>1</v>
      </c>
      <c r="D122" s="16" t="n">
        <v>199</v>
      </c>
      <c r="E122" s="13" t="n">
        <v>1</v>
      </c>
      <c r="F122" s="13" t="inlineStr"/>
      <c r="G122" s="15" t="n">
        <v>1</v>
      </c>
      <c r="H122" s="17" t="inlineStr">
        <is>
          <t>https://www.detmir.ru/search/results/?qt=%D0%BF%D0%B0%D0%BF%D0%BA%D0%B0%20%D0%B4%D0%BB%D1%8F%20%D1%82%D0%B5%D1%82%D1%80%D0%B0%D0%B4%D0%B5%D0%B9</t>
        </is>
      </c>
      <c r="I122" s="8" t="inlineStr">
        <is>
          <t>amort</t>
        </is>
      </c>
      <c r="J122" s="18">
        <f>IF(F122="год",1,IF(F122="месяц",MonthsYear,IF(F122="неделя",WeeksYear,0)))</f>
        <v/>
      </c>
      <c r="K122" s="19">
        <f>IF(N(E122)&gt;0,C122*D122/E122,C122*D122*J122)</f>
        <v/>
      </c>
      <c r="L122" s="19">
        <f>IF(G122=0,0,K122/G122)</f>
        <v/>
      </c>
      <c r="M122" s="19">
        <f>IF(L122=0,0,L122/MonthsYear)</f>
        <v/>
      </c>
    </row>
    <row r="123" ht="18" customHeight="1">
      <c r="A123" s="8" t="inlineStr">
        <is>
          <t>school_stuff</t>
        </is>
      </c>
      <c r="B123" s="7" t="inlineStr">
        <is>
          <t>Папка для труда</t>
        </is>
      </c>
      <c r="C123" s="13" t="n">
        <v>1</v>
      </c>
      <c r="D123" s="16" t="n">
        <v>349</v>
      </c>
      <c r="E123" s="13" t="n">
        <v>1</v>
      </c>
      <c r="F123" s="13" t="inlineStr"/>
      <c r="G123" s="15" t="n">
        <v>1</v>
      </c>
      <c r="H123" s="17" t="inlineStr">
        <is>
          <t>https://www.detmir.ru/search/results/?qt=%D0%BF%D0%B0%D0%BF%D0%BA%D0%B0%20%D0%B4%D0%BB%D1%8F%20%D1%82%D1%80%D1%83%D0%B4%D0%B0</t>
        </is>
      </c>
      <c r="I123" s="8" t="inlineStr">
        <is>
          <t>amort</t>
        </is>
      </c>
      <c r="J123" s="18">
        <f>IF(F123="год",1,IF(F123="месяц",MonthsYear,IF(F123="неделя",WeeksYear,0)))</f>
        <v/>
      </c>
      <c r="K123" s="19">
        <f>IF(N(E123)&gt;0,C123*D123/E123,C123*D123*J123)</f>
        <v/>
      </c>
      <c r="L123" s="19">
        <f>IF(G123=0,0,K123/G123)</f>
        <v/>
      </c>
      <c r="M123" s="19">
        <f>IF(L123=0,0,L123/MonthsYear)</f>
        <v/>
      </c>
    </row>
    <row r="124" ht="18" customHeight="1">
      <c r="A124" s="8" t="inlineStr">
        <is>
          <t>school_stuff</t>
        </is>
      </c>
      <c r="B124" s="7" t="inlineStr">
        <is>
          <t>Пенал</t>
        </is>
      </c>
      <c r="C124" s="13" t="n">
        <v>1</v>
      </c>
      <c r="D124" s="16" t="n">
        <v>479</v>
      </c>
      <c r="E124" s="13" t="n">
        <v>1</v>
      </c>
      <c r="F124" s="13" t="inlineStr"/>
      <c r="G124" s="15" t="n">
        <v>1</v>
      </c>
      <c r="H124" s="17" t="inlineStr">
        <is>
          <t>https://www.detmir.ru/product/index/id/6400444/</t>
        </is>
      </c>
      <c r="I124" s="8" t="inlineStr">
        <is>
          <t>amort</t>
        </is>
      </c>
      <c r="J124" s="18">
        <f>IF(F124="год",1,IF(F124="месяц",MonthsYear,IF(F124="неделя",WeeksYear,0)))</f>
        <v/>
      </c>
      <c r="K124" s="19">
        <f>IF(N(E124)&gt;0,C124*D124/E124,C124*D124*J124)</f>
        <v/>
      </c>
      <c r="L124" s="19">
        <f>IF(G124=0,0,K124/G124)</f>
        <v/>
      </c>
      <c r="M124" s="19">
        <f>IF(L124=0,0,L124/MonthsYear)</f>
        <v/>
      </c>
    </row>
    <row r="125" ht="18" customHeight="1">
      <c r="A125" s="8" t="inlineStr">
        <is>
          <t>school_stuff</t>
        </is>
      </c>
      <c r="B125" s="7" t="inlineStr">
        <is>
          <t>Пластилин 12 цв.</t>
        </is>
      </c>
      <c r="C125" s="13" t="n">
        <v>1</v>
      </c>
      <c r="D125" s="16" t="n">
        <v>149</v>
      </c>
      <c r="E125" s="13" t="n">
        <v>1</v>
      </c>
      <c r="F125" s="13" t="inlineStr"/>
      <c r="G125" s="15" t="n">
        <v>1</v>
      </c>
      <c r="H125" s="17" t="inlineStr">
        <is>
          <t>https://www.detmir.ru/search/results/?qt=%D0%BF%D0%BB%D0%B0%D1%81%D1%82%D0%B8%D0%BB%D0%B8%D0%BD</t>
        </is>
      </c>
      <c r="I125" s="8" t="inlineStr">
        <is>
          <t>amort</t>
        </is>
      </c>
      <c r="J125" s="18">
        <f>IF(F125="год",1,IF(F125="месяц",MonthsYear,IF(F125="неделя",WeeksYear,0)))</f>
        <v/>
      </c>
      <c r="K125" s="19">
        <f>IF(N(E125)&gt;0,C125*D125/E125,C125*D125*J125)</f>
        <v/>
      </c>
      <c r="L125" s="19">
        <f>IF(G125=0,0,K125/G125)</f>
        <v/>
      </c>
      <c r="M125" s="19">
        <f>IF(L125=0,0,L125/MonthsYear)</f>
        <v/>
      </c>
    </row>
    <row r="126" ht="18" customHeight="1">
      <c r="A126" s="8" t="inlineStr">
        <is>
          <t>school_stuff</t>
        </is>
      </c>
      <c r="B126" s="7" t="inlineStr">
        <is>
          <t>Ручка синяя</t>
        </is>
      </c>
      <c r="C126" s="13" t="n">
        <v>10</v>
      </c>
      <c r="D126" s="16" t="n">
        <v>50</v>
      </c>
      <c r="E126" s="13" t="n">
        <v>1</v>
      </c>
      <c r="F126" s="13" t="inlineStr"/>
      <c r="G126" s="15" t="n">
        <v>1</v>
      </c>
      <c r="H126" s="17" t="inlineStr">
        <is>
          <t>https://www.detmir.ru/product/index/id/6505850/</t>
        </is>
      </c>
      <c r="I126" s="8" t="inlineStr">
        <is>
          <t>amort</t>
        </is>
      </c>
      <c r="J126" s="18">
        <f>IF(F126="год",1,IF(F126="месяц",MonthsYear,IF(F126="неделя",WeeksYear,0)))</f>
        <v/>
      </c>
      <c r="K126" s="19">
        <f>IF(N(E126)&gt;0,C126*D126/E126,C126*D126*J126)</f>
        <v/>
      </c>
      <c r="L126" s="19">
        <f>IF(G126=0,0,K126/G126)</f>
        <v/>
      </c>
      <c r="M126" s="19">
        <f>IF(L126=0,0,L126/MonthsYear)</f>
        <v/>
      </c>
    </row>
    <row r="127" ht="18" customHeight="1">
      <c r="A127" s="8" t="inlineStr">
        <is>
          <t>school_stuff</t>
        </is>
      </c>
      <c r="B127" s="7" t="inlineStr">
        <is>
          <t>Тетрадь в клетку 18 л., твёрдая обложка</t>
        </is>
      </c>
      <c r="C127" s="13" t="n">
        <v>20</v>
      </c>
      <c r="D127" s="16" t="n">
        <v>50</v>
      </c>
      <c r="E127" s="13" t="n">
        <v>1</v>
      </c>
      <c r="F127" s="13" t="inlineStr"/>
      <c r="G127" s="15" t="n">
        <v>1</v>
      </c>
      <c r="H127" s="17" t="inlineStr">
        <is>
          <t>https://www.detmir.ru/search/results/?qt=%D1%82%D0%B5%D1%82%D1%80%D0%B0%D0%B4%D1%8C%2018%20%D0%BB%D0%B8%D1%81%D1%82%D0%BE%D0%B2%20%D1%82%D0%B2%D0%B5%D1%80%D0%B4%D0%B0%D1%8F%20%D0%BE%D0%B1%D0%BB%D0%BE%D0%B6%D0%BA%D0%B0%20%D0%BA%D0%BB%D0%B5%D1%82%D0%BA%D0%B0</t>
        </is>
      </c>
      <c r="I127" s="8" t="inlineStr">
        <is>
          <t>amort</t>
        </is>
      </c>
      <c r="J127" s="18">
        <f>IF(F127="год",1,IF(F127="месяц",MonthsYear,IF(F127="неделя",WeeksYear,0)))</f>
        <v/>
      </c>
      <c r="K127" s="19">
        <f>IF(N(E127)&gt;0,C127*D127/E127,C127*D127*J127)</f>
        <v/>
      </c>
      <c r="L127" s="19">
        <f>IF(G127=0,0,K127/G127)</f>
        <v/>
      </c>
      <c r="M127" s="19">
        <f>IF(L127=0,0,L127/MonthsYear)</f>
        <v/>
      </c>
    </row>
    <row r="128" ht="18" customHeight="1">
      <c r="A128" s="8" t="inlineStr">
        <is>
          <t>school_stuff</t>
        </is>
      </c>
      <c r="B128" s="7" t="inlineStr">
        <is>
          <t>Тетрадь в линейку 12 л.</t>
        </is>
      </c>
      <c r="C128" s="13" t="n">
        <v>20</v>
      </c>
      <c r="D128" s="16" t="n">
        <v>13.9</v>
      </c>
      <c r="E128" s="13" t="n">
        <v>1</v>
      </c>
      <c r="F128" s="13" t="inlineStr"/>
      <c r="G128" s="15" t="n">
        <v>1</v>
      </c>
      <c r="H128" s="17" t="inlineStr">
        <is>
          <t>https://www.detmir.ru/product/index/id/6683471/</t>
        </is>
      </c>
      <c r="I128" s="8" t="inlineStr">
        <is>
          <t>amort</t>
        </is>
      </c>
      <c r="J128" s="18">
        <f>IF(F128="год",1,IF(F128="месяц",MonthsYear,IF(F128="неделя",WeeksYear,0)))</f>
        <v/>
      </c>
      <c r="K128" s="19">
        <f>IF(N(E128)&gt;0,C128*D128/E128,C128*D128*J128)</f>
        <v/>
      </c>
      <c r="L128" s="19">
        <f>IF(G128=0,0,K128/G128)</f>
        <v/>
      </c>
      <c r="M128" s="19">
        <f>IF(L128=0,0,L128/MonthsYear)</f>
        <v/>
      </c>
    </row>
    <row r="129" ht="18" customHeight="1">
      <c r="A129" s="8" t="inlineStr">
        <is>
          <t>school_stuff</t>
        </is>
      </c>
      <c r="B129" s="7" t="inlineStr">
        <is>
          <t>Точилка</t>
        </is>
      </c>
      <c r="C129" s="13" t="n">
        <v>1</v>
      </c>
      <c r="D129" s="16" t="n">
        <v>79</v>
      </c>
      <c r="E129" s="13" t="n">
        <v>1</v>
      </c>
      <c r="F129" s="13" t="inlineStr"/>
      <c r="G129" s="15" t="n">
        <v>1</v>
      </c>
      <c r="H129" s="17" t="inlineStr">
        <is>
          <t>https://www.detmir.ru/search/results/?qt=%D1%82%D0%BE%D1%87%D0%B8%D0%BB%D0%BA%D0%B0</t>
        </is>
      </c>
      <c r="I129" s="8" t="inlineStr">
        <is>
          <t>amort</t>
        </is>
      </c>
      <c r="J129" s="18">
        <f>IF(F129="год",1,IF(F129="месяц",MonthsYear,IF(F129="неделя",WeeksYear,0)))</f>
        <v/>
      </c>
      <c r="K129" s="19">
        <f>IF(N(E129)&gt;0,C129*D129/E129,C129*D129*J129)</f>
        <v/>
      </c>
      <c r="L129" s="19">
        <f>IF(G129=0,0,K129/G129)</f>
        <v/>
      </c>
      <c r="M129" s="19">
        <f>IF(L129=0,0,L129/MonthsYear)</f>
        <v/>
      </c>
    </row>
    <row r="130" ht="18" customHeight="1">
      <c r="A130" s="8" t="inlineStr">
        <is>
          <t>school_stuff</t>
        </is>
      </c>
      <c r="B130" s="7" t="inlineStr">
        <is>
          <t>Учебные пособия</t>
        </is>
      </c>
      <c r="C130" s="13" t="n">
        <v>1</v>
      </c>
      <c r="D130" s="16" t="n">
        <v>2000</v>
      </c>
      <c r="E130" s="13" t="n">
        <v>1</v>
      </c>
      <c r="F130" s="13" t="inlineStr"/>
      <c r="G130" s="15" t="n">
        <v>1</v>
      </c>
      <c r="H130" s="17" t="inlineStr">
        <is>
          <t>https://www.detmir.ru/search/results/?qt=%D1%83%D1%87%D0%B5%D0%B1%D0%BD%D1%8B%D0%B5%20%D0%BF%D0%BE%D1%81%D0%BE%D0%B1%D0%B8%D1%8F</t>
        </is>
      </c>
      <c r="I130" s="8" t="inlineStr">
        <is>
          <t>amort</t>
        </is>
      </c>
      <c r="J130" s="18">
        <f>IF(F130="год",1,IF(F130="месяц",MonthsYear,IF(F130="неделя",WeeksYear,0)))</f>
        <v/>
      </c>
      <c r="K130" s="19">
        <f>IF(N(E130)&gt;0,C130*D130/E130,C130*D130*J130)</f>
        <v/>
      </c>
      <c r="L130" s="19">
        <f>IF(G130=0,0,K130/G130)</f>
        <v/>
      </c>
      <c r="M130" s="19">
        <f>IF(L130=0,0,L130/MonthsYear)</f>
        <v/>
      </c>
    </row>
    <row r="131" ht="18" customHeight="1">
      <c r="A131" s="8" t="inlineStr">
        <is>
          <t>school_stuff</t>
        </is>
      </c>
      <c r="B131" s="7" t="inlineStr">
        <is>
          <t>Фломастеры 50</t>
        </is>
      </c>
      <c r="C131" s="13" t="n">
        <v>2</v>
      </c>
      <c r="D131" s="16" t="n">
        <v>549</v>
      </c>
      <c r="E131" s="13" t="n">
        <v>1</v>
      </c>
      <c r="F131" s="13" t="inlineStr"/>
      <c r="G131" s="15" t="n">
        <v>1</v>
      </c>
      <c r="H131" s="17" t="inlineStr">
        <is>
          <t>https://www.detmir.ru/product/index/id/3293711/</t>
        </is>
      </c>
      <c r="I131" s="8" t="inlineStr">
        <is>
          <t>amort</t>
        </is>
      </c>
      <c r="J131" s="18">
        <f>IF(F131="год",1,IF(F131="месяц",MonthsYear,IF(F131="неделя",WeeksYear,0)))</f>
        <v/>
      </c>
      <c r="K131" s="19">
        <f>IF(N(E131)&gt;0,C131*D131/E131,C131*D131*J131)</f>
        <v/>
      </c>
      <c r="L131" s="19">
        <f>IF(G131=0,0,K131/G131)</f>
        <v/>
      </c>
      <c r="M131" s="19">
        <f>IF(L131=0,0,L131/MonthsYear)</f>
        <v/>
      </c>
    </row>
    <row r="132" ht="18" customHeight="1">
      <c r="A132" s="8" t="inlineStr">
        <is>
          <t>school_stuff</t>
        </is>
      </c>
      <c r="B132" s="7" t="inlineStr">
        <is>
          <t>Цветная бумага</t>
        </is>
      </c>
      <c r="C132" s="13" t="n">
        <v>1</v>
      </c>
      <c r="D132" s="16" t="n">
        <v>69</v>
      </c>
      <c r="E132" s="13" t="n">
        <v>1</v>
      </c>
      <c r="F132" s="13" t="inlineStr"/>
      <c r="G132" s="15" t="n">
        <v>1</v>
      </c>
      <c r="H132" s="17" t="inlineStr">
        <is>
          <t>https://www.detmir.ru/search/results/?qt=%D1%86%D0%B2%D0%B5%D1%82%D0%BD%D0%B0%D1%8F%20%D0%B1%D1%83%D0%BC%D0%B0%D0%B3%D0%B0</t>
        </is>
      </c>
      <c r="I132" s="8" t="inlineStr">
        <is>
          <t>amort</t>
        </is>
      </c>
      <c r="J132" s="18">
        <f>IF(F132="год",1,IF(F132="месяц",MonthsYear,IF(F132="неделя",WeeksYear,0)))</f>
        <v/>
      </c>
      <c r="K132" s="19">
        <f>IF(N(E132)&gt;0,C132*D132/E132,C132*D132*J132)</f>
        <v/>
      </c>
      <c r="L132" s="19">
        <f>IF(G132=0,0,K132/G132)</f>
        <v/>
      </c>
      <c r="M132" s="19">
        <f>IF(L132=0,0,L132/MonthsYear)</f>
        <v/>
      </c>
    </row>
    <row r="133" ht="18" customHeight="1">
      <c r="A133" s="8" t="inlineStr">
        <is>
          <t>school_reg</t>
        </is>
      </c>
      <c r="B133" s="7" t="inlineStr">
        <is>
          <t>Питание в школе</t>
        </is>
      </c>
      <c r="C133" s="13" t="n">
        <v>1</v>
      </c>
      <c r="D133" s="16" t="n">
        <v>17000</v>
      </c>
      <c r="E133" s="13" t="n"/>
      <c r="F133" s="13" t="inlineStr">
        <is>
          <t>год</t>
        </is>
      </c>
      <c r="G133" s="15" t="n">
        <v>1</v>
      </c>
      <c r="H133" s="7" t="inlineStr"/>
      <c r="I133" s="8" t="inlineStr">
        <is>
          <t>pay</t>
        </is>
      </c>
      <c r="J133" s="18">
        <f>IF(F133="год",1,IF(F133="месяц",MonthsYear,IF(F133="неделя",WeeksYear,0)))</f>
        <v/>
      </c>
      <c r="K133" s="19">
        <f>IF(N(E133)&gt;0,C133*D133/E133,C133*D133*J133)</f>
        <v/>
      </c>
      <c r="L133" s="19">
        <f>IF(G133=0,0,K133/G133)</f>
        <v/>
      </c>
      <c r="M133" s="19">
        <f>IF(L133=0,0,L133/MonthsYear)</f>
        <v/>
      </c>
    </row>
    <row r="134" ht="18" customHeight="1">
      <c r="A134" s="8" t="inlineStr">
        <is>
          <t>school_reg</t>
        </is>
      </c>
      <c r="B134" s="7" t="inlineStr">
        <is>
          <t>Платный курс (школа)</t>
        </is>
      </c>
      <c r="C134" s="13" t="n">
        <v>1</v>
      </c>
      <c r="D134" s="16" t="n">
        <v>300</v>
      </c>
      <c r="E134" s="13" t="n"/>
      <c r="F134" s="13" t="inlineStr">
        <is>
          <t>месяц</t>
        </is>
      </c>
      <c r="G134" s="15" t="n">
        <v>1</v>
      </c>
      <c r="H134" s="7" t="inlineStr"/>
      <c r="I134" s="8" t="inlineStr">
        <is>
          <t>pay</t>
        </is>
      </c>
      <c r="J134" s="18">
        <f>IF(F134="год",1,IF(F134="месяц",MonthsYear,IF(F134="неделя",WeeksYear,0)))</f>
        <v/>
      </c>
      <c r="K134" s="19">
        <f>IF(N(E134)&gt;0,C134*D134/E134,C134*D134*J134)</f>
        <v/>
      </c>
      <c r="L134" s="19">
        <f>IF(G134=0,0,K134/G134)</f>
        <v/>
      </c>
      <c r="M134" s="19">
        <f>IF(L134=0,0,L134/MonthsYear)</f>
        <v/>
      </c>
    </row>
    <row r="135" ht="18" customHeight="1">
      <c r="A135" s="8" t="inlineStr">
        <is>
          <t>school_reg</t>
        </is>
      </c>
      <c r="B135" s="7" t="inlineStr">
        <is>
          <t>Взносы в школу</t>
        </is>
      </c>
      <c r="C135" s="13" t="n">
        <v>1</v>
      </c>
      <c r="D135" s="16" t="n">
        <v>3000</v>
      </c>
      <c r="E135" s="13" t="n"/>
      <c r="F135" s="13" t="inlineStr">
        <is>
          <t>год</t>
        </is>
      </c>
      <c r="G135" s="15" t="n">
        <v>1</v>
      </c>
      <c r="H135" s="7" t="inlineStr"/>
      <c r="I135" s="8" t="inlineStr">
        <is>
          <t>pay</t>
        </is>
      </c>
      <c r="J135" s="18">
        <f>IF(F135="год",1,IF(F135="месяц",MonthsYear,IF(F135="неделя",WeeksYear,0)))</f>
        <v/>
      </c>
      <c r="K135" s="19">
        <f>IF(N(E135)&gt;0,C135*D135/E135,C135*D135*J135)</f>
        <v/>
      </c>
      <c r="L135" s="19">
        <f>IF(G135=0,0,K135/G135)</f>
        <v/>
      </c>
      <c r="M135" s="19">
        <f>IF(L135=0,0,L135/MonthsYear)</f>
        <v/>
      </c>
    </row>
    <row r="136" ht="18" customHeight="1">
      <c r="A136" s="8" t="inlineStr">
        <is>
          <t>school_add</t>
        </is>
      </c>
      <c r="B136" s="7" t="inlineStr">
        <is>
          <t>Букет учителю</t>
        </is>
      </c>
      <c r="C136" s="13" t="n">
        <v>1</v>
      </c>
      <c r="D136" s="16" t="n">
        <v>2000</v>
      </c>
      <c r="E136" s="13" t="n">
        <v>1</v>
      </c>
      <c r="F136" s="13" t="inlineStr"/>
      <c r="G136" s="15" t="n">
        <v>1</v>
      </c>
      <c r="H136" s="17" t="inlineStr">
        <is>
          <t>https://www.detmir.ru/search/results/?qt=%D0%B1%D1%83%D0%BA%D0%B5%D1%82</t>
        </is>
      </c>
      <c r="I136" s="8" t="inlineStr">
        <is>
          <t>pay</t>
        </is>
      </c>
      <c r="J136" s="18">
        <f>IF(F136="год",1,IF(F136="месяц",MonthsYear,IF(F136="неделя",WeeksYear,0)))</f>
        <v/>
      </c>
      <c r="K136" s="19">
        <f>IF(N(E136)&gt;0,C136*D136/E136,C136*D136*J136)</f>
        <v/>
      </c>
      <c r="L136" s="19">
        <f>IF(G136=0,0,K136/G136)</f>
        <v/>
      </c>
      <c r="M136" s="19">
        <f>IF(L136=0,0,L136/MonthsYear)</f>
        <v/>
      </c>
    </row>
    <row r="137" ht="18" customHeight="1">
      <c r="A137" s="8" t="inlineStr">
        <is>
          <t>school_add</t>
        </is>
      </c>
      <c r="B137" s="7" t="inlineStr">
        <is>
          <t>Выпускной</t>
        </is>
      </c>
      <c r="C137" s="13" t="n">
        <v>1</v>
      </c>
      <c r="D137" s="16" t="n">
        <v>10000</v>
      </c>
      <c r="E137" s="13" t="n">
        <v>5</v>
      </c>
      <c r="F137" s="13" t="inlineStr"/>
      <c r="G137" s="15" t="n">
        <v>1</v>
      </c>
      <c r="H137" s="7" t="inlineStr"/>
      <c r="I137" s="8" t="inlineStr">
        <is>
          <t>pay</t>
        </is>
      </c>
      <c r="J137" s="18">
        <f>IF(F137="год",1,IF(F137="месяц",MonthsYear,IF(F137="неделя",WeeksYear,0)))</f>
        <v/>
      </c>
      <c r="K137" s="19">
        <f>IF(N(E137)&gt;0,C137*D137/E137,C137*D137*J137)</f>
        <v/>
      </c>
      <c r="L137" s="19">
        <f>IF(G137=0,0,K137/G137)</f>
        <v/>
      </c>
      <c r="M137" s="19">
        <f>IF(L137=0,0,L137/MonthsYear)</f>
        <v/>
      </c>
    </row>
    <row r="138" ht="18" customHeight="1">
      <c r="A138" s="8" t="inlineStr">
        <is>
          <t>school_add</t>
        </is>
      </c>
      <c r="B138" s="7" t="inlineStr">
        <is>
          <t>Поездки и мероприятия школы</t>
        </is>
      </c>
      <c r="C138" s="13" t="n">
        <v>12</v>
      </c>
      <c r="D138" s="16" t="n">
        <v>500</v>
      </c>
      <c r="E138" s="13" t="n">
        <v>1</v>
      </c>
      <c r="F138" s="13" t="inlineStr"/>
      <c r="G138" s="15" t="n">
        <v>1</v>
      </c>
      <c r="H138" s="7" t="inlineStr"/>
      <c r="I138" s="8" t="inlineStr">
        <is>
          <t>pay</t>
        </is>
      </c>
      <c r="J138" s="18">
        <f>IF(F138="год",1,IF(F138="месяц",MonthsYear,IF(F138="неделя",WeeksYear,0)))</f>
        <v/>
      </c>
      <c r="K138" s="19">
        <f>IF(N(E138)&gt;0,C138*D138/E138,C138*D138*J138)</f>
        <v/>
      </c>
      <c r="L138" s="19">
        <f>IF(G138=0,0,K138/G138)</f>
        <v/>
      </c>
      <c r="M138" s="19">
        <f>IF(L138=0,0,L138/MonthsYear)</f>
        <v/>
      </c>
    </row>
    <row r="139" ht="18" customHeight="1">
      <c r="A139" s="8" t="inlineStr">
        <is>
          <t>extra_buy</t>
        </is>
      </c>
      <c r="B139" s="7" t="inlineStr">
        <is>
          <t>Борцовка самбо</t>
        </is>
      </c>
      <c r="C139" s="13" t="n">
        <v>1</v>
      </c>
      <c r="D139" s="16" t="n">
        <v>3690</v>
      </c>
      <c r="E139" s="13" t="n">
        <v>2</v>
      </c>
      <c r="F139" s="13" t="inlineStr"/>
      <c r="G139" s="15" t="n">
        <v>1</v>
      </c>
      <c r="H139" s="17" t="inlineStr">
        <is>
          <t>https://rocky-shop.ru/ekipirovka-dlya-edinoborstv/kurtka-dlya-sambo-green-hill-junior-rostovki-160-190-sm-10032.html</t>
        </is>
      </c>
      <c r="I139" s="8" t="inlineStr">
        <is>
          <t>amort</t>
        </is>
      </c>
      <c r="J139" s="18">
        <f>IF(F139="год",1,IF(F139="месяц",MonthsYear,IF(F139="неделя",WeeksYear,0)))</f>
        <v/>
      </c>
      <c r="K139" s="19">
        <f>IF(N(E139)&gt;0,C139*D139/E139,C139*D139*J139)</f>
        <v/>
      </c>
      <c r="L139" s="19">
        <f>IF(G139=0,0,K139/G139)</f>
        <v/>
      </c>
      <c r="M139" s="19">
        <f>IF(L139=0,0,L139/MonthsYear)</f>
        <v/>
      </c>
    </row>
    <row r="140" ht="18" customHeight="1">
      <c r="A140" s="8" t="inlineStr">
        <is>
          <t>extra_buy</t>
        </is>
      </c>
      <c r="B140" s="7" t="inlineStr">
        <is>
          <t>Защита голени</t>
        </is>
      </c>
      <c r="C140" s="13" t="n">
        <v>1</v>
      </c>
      <c r="D140" s="16" t="n">
        <v>2190</v>
      </c>
      <c r="E140" s="13" t="n">
        <v>2</v>
      </c>
      <c r="F140" s="13" t="inlineStr"/>
      <c r="G140" s="15" t="n">
        <v>1</v>
      </c>
      <c r="H140" s="17" t="inlineStr">
        <is>
          <t>https://karate.ru/shop/catalog/407-perchatki-mma-sinie-kozhzamenitel-combat-sambo-green-hill/</t>
        </is>
      </c>
      <c r="I140" s="8" t="inlineStr">
        <is>
          <t>amort</t>
        </is>
      </c>
      <c r="J140" s="18">
        <f>IF(F140="год",1,IF(F140="месяц",MonthsYear,IF(F140="неделя",WeeksYear,0)))</f>
        <v/>
      </c>
      <c r="K140" s="19">
        <f>IF(N(E140)&gt;0,C140*D140/E140,C140*D140*J140)</f>
        <v/>
      </c>
      <c r="L140" s="19">
        <f>IF(G140=0,0,K140/G140)</f>
        <v/>
      </c>
      <c r="M140" s="19">
        <f>IF(L140=0,0,L140/MonthsYear)</f>
        <v/>
      </c>
    </row>
    <row r="141" ht="18" customHeight="1">
      <c r="A141" s="8" t="inlineStr">
        <is>
          <t>extra_buy</t>
        </is>
      </c>
      <c r="B141" s="7" t="inlineStr">
        <is>
          <t>Ласты</t>
        </is>
      </c>
      <c r="C141" s="13" t="n">
        <v>1</v>
      </c>
      <c r="D141" s="16" t="n">
        <v>999</v>
      </c>
      <c r="E141" s="13" t="n">
        <v>2</v>
      </c>
      <c r="F141" s="13" t="inlineStr"/>
      <c r="G141" s="15" t="n">
        <v>1</v>
      </c>
      <c r="H141" s="17" t="inlineStr">
        <is>
          <t>https://www.detmir.ru/search/results/?qt=%D0%BB%D0%B0%D1%81%D1%82%D1%8B%20%D0%B4%D0%B5%D1%82%D1%81%D0%BA%D0%B8%D0%B5</t>
        </is>
      </c>
      <c r="I141" s="8" t="inlineStr">
        <is>
          <t>amort</t>
        </is>
      </c>
      <c r="J141" s="18">
        <f>IF(F141="год",1,IF(F141="месяц",MonthsYear,IF(F141="неделя",WeeksYear,0)))</f>
        <v/>
      </c>
      <c r="K141" s="19">
        <f>IF(N(E141)&gt;0,C141*D141/E141,C141*D141*J141)</f>
        <v/>
      </c>
      <c r="L141" s="19">
        <f>IF(G141=0,0,K141/G141)</f>
        <v/>
      </c>
      <c r="M141" s="19">
        <f>IF(L141=0,0,L141/MonthsYear)</f>
        <v/>
      </c>
    </row>
    <row r="142" ht="18" customHeight="1">
      <c r="A142" s="8" t="inlineStr">
        <is>
          <t>extra_buy</t>
        </is>
      </c>
      <c r="B142" s="7" t="inlineStr">
        <is>
          <t>Перчатки для самбо</t>
        </is>
      </c>
      <c r="C142" s="13" t="n">
        <v>1</v>
      </c>
      <c r="D142" s="16" t="n">
        <v>2990</v>
      </c>
      <c r="E142" s="13" t="n">
        <v>2</v>
      </c>
      <c r="F142" s="13" t="inlineStr"/>
      <c r="G142" s="15" t="n">
        <v>1</v>
      </c>
      <c r="H142" s="17" t="inlineStr">
        <is>
          <t>https://dantesport.ru/product_info.php?products_id=1207</t>
        </is>
      </c>
      <c r="I142" s="8" t="inlineStr">
        <is>
          <t>amort</t>
        </is>
      </c>
      <c r="J142" s="18">
        <f>IF(F142="год",1,IF(F142="месяц",MonthsYear,IF(F142="неделя",WeeksYear,0)))</f>
        <v/>
      </c>
      <c r="K142" s="19">
        <f>IF(N(E142)&gt;0,C142*D142/E142,C142*D142*J142)</f>
        <v/>
      </c>
      <c r="L142" s="19">
        <f>IF(G142=0,0,K142/G142)</f>
        <v/>
      </c>
      <c r="M142" s="19">
        <f>IF(L142=0,0,L142/MonthsYear)</f>
        <v/>
      </c>
    </row>
    <row r="143" ht="18" customHeight="1">
      <c r="A143" s="8" t="inlineStr">
        <is>
          <t>extra_buy</t>
        </is>
      </c>
      <c r="B143" s="7" t="inlineStr">
        <is>
          <t>Плавки</t>
        </is>
      </c>
      <c r="C143" s="13" t="n">
        <v>1</v>
      </c>
      <c r="D143" s="16" t="n">
        <v>599</v>
      </c>
      <c r="E143" s="13" t="n">
        <v>1</v>
      </c>
      <c r="F143" s="13" t="inlineStr"/>
      <c r="G143" s="15" t="n">
        <v>1</v>
      </c>
      <c r="H143" s="17" t="inlineStr">
        <is>
          <t>https://www.detmir.ru/catalog/index/name/plavki/</t>
        </is>
      </c>
      <c r="I143" s="8" t="inlineStr">
        <is>
          <t>amort</t>
        </is>
      </c>
      <c r="J143" s="18">
        <f>IF(F143="год",1,IF(F143="месяц",MonthsYear,IF(F143="неделя",WeeksYear,0)))</f>
        <v/>
      </c>
      <c r="K143" s="19">
        <f>IF(N(E143)&gt;0,C143*D143/E143,C143*D143*J143)</f>
        <v/>
      </c>
      <c r="L143" s="19">
        <f>IF(G143=0,0,K143/G143)</f>
        <v/>
      </c>
      <c r="M143" s="19">
        <f>IF(L143=0,0,L143/MonthsYear)</f>
        <v/>
      </c>
    </row>
    <row r="144" ht="18" customHeight="1">
      <c r="A144" s="8" t="inlineStr">
        <is>
          <t>extra_buy</t>
        </is>
      </c>
      <c r="B144" s="7" t="inlineStr">
        <is>
          <t>Полотенце для плавания</t>
        </is>
      </c>
      <c r="C144" s="13" t="n">
        <v>1</v>
      </c>
      <c r="D144" s="16" t="n">
        <v>499</v>
      </c>
      <c r="E144" s="13" t="n">
        <v>1</v>
      </c>
      <c r="F144" s="13" t="inlineStr"/>
      <c r="G144" s="15" t="n">
        <v>1</v>
      </c>
      <c r="H144" s="17" t="inlineStr">
        <is>
          <t>https://www.detmir.ru/search/results/?qt=%D0%BF%D0%BE%D0%BB%D0%BE%D1%82%D0%B5%D0%BD%D1%86%D0%B5%20%D0%BF%D0%BB%D0%B0%D0%B2%D0%B0%D0%BD%D0%B8%D0%B5</t>
        </is>
      </c>
      <c r="I144" s="8" t="inlineStr">
        <is>
          <t>amort</t>
        </is>
      </c>
      <c r="J144" s="18">
        <f>IF(F144="год",1,IF(F144="месяц",MonthsYear,IF(F144="неделя",WeeksYear,0)))</f>
        <v/>
      </c>
      <c r="K144" s="19">
        <f>IF(N(E144)&gt;0,C144*D144/E144,C144*D144*J144)</f>
        <v/>
      </c>
      <c r="L144" s="19">
        <f>IF(G144=0,0,K144/G144)</f>
        <v/>
      </c>
      <c r="M144" s="19">
        <f>IF(L144=0,0,L144/MonthsYear)</f>
        <v/>
      </c>
    </row>
    <row r="145" ht="18" customHeight="1">
      <c r="A145" s="8" t="inlineStr">
        <is>
          <t>extra_buy</t>
        </is>
      </c>
      <c r="B145" s="7" t="inlineStr">
        <is>
          <t>Шорты для самбо</t>
        </is>
      </c>
      <c r="C145" s="13" t="n">
        <v>1</v>
      </c>
      <c r="D145" s="16" t="n">
        <v>1990</v>
      </c>
      <c r="E145" s="13" t="n">
        <v>2</v>
      </c>
      <c r="F145" s="13" t="inlineStr"/>
      <c r="G145" s="15" t="n">
        <v>1</v>
      </c>
      <c r="H145" s="17" t="inlineStr">
        <is>
          <t>https://rocky-shop.ru/ekipirovka-dlya-edinoborstv/detskie-bortscovki-dlya-sambo-green-hill-triumf-odobreny-fias-27458.html</t>
        </is>
      </c>
      <c r="I145" s="8" t="inlineStr">
        <is>
          <t>amort</t>
        </is>
      </c>
      <c r="J145" s="18">
        <f>IF(F145="год",1,IF(F145="месяц",MonthsYear,IF(F145="неделя",WeeksYear,0)))</f>
        <v/>
      </c>
      <c r="K145" s="19">
        <f>IF(N(E145)&gt;0,C145*D145/E145,C145*D145*J145)</f>
        <v/>
      </c>
      <c r="L145" s="19">
        <f>IF(G145=0,0,K145/G145)</f>
        <v/>
      </c>
      <c r="M145" s="19">
        <f>IF(L145=0,0,L145/MonthsYear)</f>
        <v/>
      </c>
    </row>
    <row r="146" ht="18" customHeight="1">
      <c r="A146" s="8" t="inlineStr">
        <is>
          <t>extra_buy</t>
        </is>
      </c>
      <c r="B146" s="7" t="inlineStr">
        <is>
          <t>Сумка для самбо</t>
        </is>
      </c>
      <c r="C146" s="13" t="n">
        <v>1</v>
      </c>
      <c r="D146" s="16" t="n">
        <v>1499</v>
      </c>
      <c r="E146" s="13" t="n">
        <v>3</v>
      </c>
      <c r="F146" s="13" t="inlineStr"/>
      <c r="G146" s="15" t="n">
        <v>1</v>
      </c>
      <c r="H146" s="17" t="inlineStr">
        <is>
          <t>https://www.detmir.ru/search/results/?qt=%D1%81%D0%BF%D0%BE%D1%80%D1%82%D0%B8%D0%B2%D0%BD%D0%B0%D1%8F%20%D1%81%D1%83%D0%BC%D0%BA%D0%B0</t>
        </is>
      </c>
      <c r="I146" s="8" t="inlineStr">
        <is>
          <t>amort</t>
        </is>
      </c>
      <c r="J146" s="18">
        <f>IF(F146="год",1,IF(F146="месяц",MonthsYear,IF(F146="неделя",WeeksYear,0)))</f>
        <v/>
      </c>
      <c r="K146" s="19">
        <f>IF(N(E146)&gt;0,C146*D146/E146,C146*D146*J146)</f>
        <v/>
      </c>
      <c r="L146" s="19">
        <f>IF(G146=0,0,K146/G146)</f>
        <v/>
      </c>
      <c r="M146" s="19">
        <f>IF(L146=0,0,L146/MonthsYear)</f>
        <v/>
      </c>
    </row>
    <row r="147" ht="18" customHeight="1">
      <c r="A147" s="8" t="inlineStr">
        <is>
          <t>extra_pay</t>
        </is>
      </c>
      <c r="B147" s="7" t="inlineStr">
        <is>
          <t>Курс английского, Language Secret</t>
        </is>
      </c>
      <c r="C147" s="13" t="n">
        <v>12</v>
      </c>
      <c r="D147" s="16" t="n">
        <v>3440</v>
      </c>
      <c r="E147" s="13" t="n">
        <v>1</v>
      </c>
      <c r="F147" s="13" t="inlineStr"/>
      <c r="G147" s="15" t="n">
        <v>1</v>
      </c>
      <c r="H147" s="7" t="inlineStr"/>
      <c r="I147" s="8" t="inlineStr">
        <is>
          <t>pay</t>
        </is>
      </c>
      <c r="J147" s="18">
        <f>IF(F147="год",1,IF(F147="месяц",MonthsYear,IF(F147="неделя",WeeksYear,0)))</f>
        <v/>
      </c>
      <c r="K147" s="19">
        <f>IF(N(E147)&gt;0,C147*D147/E147,C147*D147*J147)</f>
        <v/>
      </c>
      <c r="L147" s="19">
        <f>IF(G147=0,0,K147/G147)</f>
        <v/>
      </c>
      <c r="M147" s="19">
        <f>IF(L147=0,0,L147/MonthsYear)</f>
        <v/>
      </c>
    </row>
    <row r="148" ht="18" customHeight="1">
      <c r="A148" s="8" t="inlineStr">
        <is>
          <t>extra_pay</t>
        </is>
      </c>
      <c r="B148" s="7" t="inlineStr">
        <is>
          <t>Абонемент Олимпия Спорт</t>
        </is>
      </c>
      <c r="C148" s="13" t="n">
        <v>1</v>
      </c>
      <c r="D148" s="16" t="n">
        <v>36000</v>
      </c>
      <c r="E148" s="13" t="n"/>
      <c r="F148" s="13" t="inlineStr">
        <is>
          <t>год</t>
        </is>
      </c>
      <c r="G148" s="15" t="n">
        <v>1</v>
      </c>
      <c r="H148" s="7" t="inlineStr"/>
      <c r="I148" s="8" t="inlineStr">
        <is>
          <t>pay</t>
        </is>
      </c>
      <c r="J148" s="18">
        <f>IF(F148="год",1,IF(F148="месяц",MonthsYear,IF(F148="неделя",WeeksYear,0)))</f>
        <v/>
      </c>
      <c r="K148" s="19">
        <f>IF(N(E148)&gt;0,C148*D148/E148,C148*D148*J148)</f>
        <v/>
      </c>
      <c r="L148" s="19">
        <f>IF(G148=0,0,K148/G148)</f>
        <v/>
      </c>
      <c r="M148" s="19">
        <f>IF(L148=0,0,L148/MonthsYear)</f>
        <v/>
      </c>
    </row>
    <row r="149" ht="18" customHeight="1">
      <c r="A149" s="8" t="inlineStr">
        <is>
          <t>extra_pay</t>
        </is>
      </c>
      <c r="B149" s="7" t="inlineStr">
        <is>
          <t>Секция самбо</t>
        </is>
      </c>
      <c r="C149" s="13" t="n">
        <v>1</v>
      </c>
      <c r="D149" s="16" t="n">
        <v>4000</v>
      </c>
      <c r="E149" s="13" t="n"/>
      <c r="F149" s="13" t="inlineStr">
        <is>
          <t>месяц</t>
        </is>
      </c>
      <c r="G149" s="15" t="n">
        <v>1</v>
      </c>
      <c r="H149" s="7" t="inlineStr"/>
      <c r="I149" s="8" t="inlineStr">
        <is>
          <t>pay</t>
        </is>
      </c>
      <c r="J149" s="18">
        <f>IF(F149="год",1,IF(F149="месяц",MonthsYear,IF(F149="неделя",WeeksYear,0)))</f>
        <v/>
      </c>
      <c r="K149" s="19">
        <f>IF(N(E149)&gt;0,C149*D149/E149,C149*D149*J149)</f>
        <v/>
      </c>
      <c r="L149" s="19">
        <f>IF(G149=0,0,K149/G149)</f>
        <v/>
      </c>
      <c r="M149" s="19">
        <f>IF(L149=0,0,L149/MonthsYear)</f>
        <v/>
      </c>
    </row>
    <row r="150" ht="18" customHeight="1">
      <c r="A150" s="8" t="inlineStr">
        <is>
          <t>health_pharm</t>
        </is>
      </c>
      <c r="B150" s="7" t="inlineStr">
        <is>
          <t>Долфин</t>
        </is>
      </c>
      <c r="C150" s="13" t="n">
        <v>1</v>
      </c>
      <c r="D150" s="16" t="n">
        <v>548</v>
      </c>
      <c r="E150" s="13" t="n"/>
      <c r="F150" s="13" t="inlineStr">
        <is>
          <t>год</t>
        </is>
      </c>
      <c r="G150" s="15" t="n">
        <v>1</v>
      </c>
      <c r="H150" s="17" t="inlineStr">
        <is>
          <t>https://www.eapteka.ru/goods/id215357/</t>
        </is>
      </c>
      <c r="I150" s="8" t="inlineStr">
        <is>
          <t>pay</t>
        </is>
      </c>
      <c r="J150" s="18">
        <f>IF(F150="год",1,IF(F150="месяц",MonthsYear,IF(F150="неделя",WeeksYear,0)))</f>
        <v/>
      </c>
      <c r="K150" s="19">
        <f>IF(N(E150)&gt;0,C150*D150/E150,C150*D150*J150)</f>
        <v/>
      </c>
      <c r="L150" s="19">
        <f>IF(G150=0,0,K150/G150)</f>
        <v/>
      </c>
      <c r="M150" s="19">
        <f>IF(L150=0,0,L150/MonthsYear)</f>
        <v/>
      </c>
    </row>
    <row r="151" ht="18" customHeight="1">
      <c r="A151" s="8" t="inlineStr">
        <is>
          <t>health_pharm</t>
        </is>
      </c>
      <c r="B151" s="7" t="inlineStr">
        <is>
          <t>Йод</t>
        </is>
      </c>
      <c r="C151" s="13" t="n">
        <v>1</v>
      </c>
      <c r="D151" s="16" t="n">
        <v>59</v>
      </c>
      <c r="E151" s="13" t="n"/>
      <c r="F151" s="13" t="inlineStr">
        <is>
          <t>год</t>
        </is>
      </c>
      <c r="G151" s="15" t="n">
        <v>3</v>
      </c>
      <c r="H151" s="17" t="inlineStr">
        <is>
          <t>https://www.eapteka.ru/search/?q=%D0%B9%D0%BE%D0%B4</t>
        </is>
      </c>
      <c r="I151" s="8" t="inlineStr">
        <is>
          <t>pay</t>
        </is>
      </c>
      <c r="J151" s="18">
        <f>IF(F151="год",1,IF(F151="месяц",MonthsYear,IF(F151="неделя",WeeksYear,0)))</f>
        <v/>
      </c>
      <c r="K151" s="19">
        <f>IF(N(E151)&gt;0,C151*D151/E151,C151*D151*J151)</f>
        <v/>
      </c>
      <c r="L151" s="19">
        <f>IF(G151=0,0,K151/G151)</f>
        <v/>
      </c>
      <c r="M151" s="19">
        <f>IF(L151=0,0,L151/MonthsYear)</f>
        <v/>
      </c>
    </row>
    <row r="152" ht="18" customHeight="1">
      <c r="A152" s="8" t="inlineStr">
        <is>
          <t>health_pharm</t>
        </is>
      </c>
      <c r="B152" s="7" t="inlineStr">
        <is>
          <t>Макмирор</t>
        </is>
      </c>
      <c r="C152" s="13" t="n">
        <v>9</v>
      </c>
      <c r="D152" s="16" t="n">
        <v>1470</v>
      </c>
      <c r="E152" s="13" t="n"/>
      <c r="F152" s="13" t="inlineStr">
        <is>
          <t>год</t>
        </is>
      </c>
      <c r="G152" s="15" t="n">
        <v>1</v>
      </c>
      <c r="H152" s="17" t="inlineStr">
        <is>
          <t>https://apteka.magnit.ru/product/7000001484-makmiror_tabletki_200mg_20sht</t>
        </is>
      </c>
      <c r="I152" s="8" t="inlineStr">
        <is>
          <t>pay</t>
        </is>
      </c>
      <c r="J152" s="18">
        <f>IF(F152="год",1,IF(F152="месяц",MonthsYear,IF(F152="неделя",WeeksYear,0)))</f>
        <v/>
      </c>
      <c r="K152" s="19">
        <f>IF(N(E152)&gt;0,C152*D152/E152,C152*D152*J152)</f>
        <v/>
      </c>
      <c r="L152" s="19">
        <f>IF(G152=0,0,K152/G152)</f>
        <v/>
      </c>
      <c r="M152" s="19">
        <f>IF(L152=0,0,L152/MonthsYear)</f>
        <v/>
      </c>
    </row>
    <row r="153" ht="18" customHeight="1">
      <c r="A153" s="8" t="inlineStr">
        <is>
          <t>health_pharm</t>
        </is>
      </c>
      <c r="B153" s="7" t="inlineStr">
        <is>
          <t>Називин, 1 флакон</t>
        </is>
      </c>
      <c r="C153" s="13" t="n">
        <v>1</v>
      </c>
      <c r="D153" s="16" t="n">
        <v>340</v>
      </c>
      <c r="E153" s="13" t="n"/>
      <c r="F153" s="13" t="inlineStr">
        <is>
          <t>год</t>
        </is>
      </c>
      <c r="G153" s="15" t="n">
        <v>1</v>
      </c>
      <c r="H153" s="17" t="inlineStr">
        <is>
          <t>https://www.eapteka.ru/search/?q=%D0%BD%D0%B0%D0%B7%D0%B8%D0%B2%D0%B8%D0%BD</t>
        </is>
      </c>
      <c r="I153" s="8" t="inlineStr">
        <is>
          <t>pay</t>
        </is>
      </c>
      <c r="J153" s="18">
        <f>IF(F153="год",1,IF(F153="месяц",MonthsYear,IF(F153="неделя",WeeksYear,0)))</f>
        <v/>
      </c>
      <c r="K153" s="19">
        <f>IF(N(E153)&gt;0,C153*D153/E153,C153*D153*J153)</f>
        <v/>
      </c>
      <c r="L153" s="19">
        <f>IF(G153=0,0,K153/G153)</f>
        <v/>
      </c>
      <c r="M153" s="19">
        <f>IF(L153=0,0,L153/MonthsYear)</f>
        <v/>
      </c>
    </row>
    <row r="154" ht="18" customHeight="1">
      <c r="A154" s="8" t="inlineStr">
        <is>
          <t>health_pharm</t>
        </is>
      </c>
      <c r="B154" s="7" t="inlineStr">
        <is>
          <t>Перекись водорода</t>
        </is>
      </c>
      <c r="C154" s="13" t="n">
        <v>1</v>
      </c>
      <c r="D154" s="16" t="n">
        <v>45</v>
      </c>
      <c r="E154" s="13" t="n"/>
      <c r="F154" s="13" t="inlineStr">
        <is>
          <t>год</t>
        </is>
      </c>
      <c r="G154" s="15" t="n">
        <v>3</v>
      </c>
      <c r="H154" s="17" t="inlineStr">
        <is>
          <t>https://www.eapteka.ru/search/?q=%D0%BF%D0%B5%D1%80%D0%B5%D0%BA%D0%B8%D1%81%D1%8C%20%D0%B2%D0%BE%D0%B4%D0%BE%D1%80%D0%BE%D0%B4%D0%B0</t>
        </is>
      </c>
      <c r="I154" s="8" t="inlineStr">
        <is>
          <t>pay</t>
        </is>
      </c>
      <c r="J154" s="18">
        <f>IF(F154="год",1,IF(F154="месяц",MonthsYear,IF(F154="неделя",WeeksYear,0)))</f>
        <v/>
      </c>
      <c r="K154" s="19">
        <f>IF(N(E154)&gt;0,C154*D154/E154,C154*D154*J154)</f>
        <v/>
      </c>
      <c r="L154" s="19">
        <f>IF(G154=0,0,K154/G154)</f>
        <v/>
      </c>
      <c r="M154" s="19">
        <f>IF(L154=0,0,L154/MonthsYear)</f>
        <v/>
      </c>
    </row>
    <row r="155" ht="18" customHeight="1">
      <c r="A155" s="8" t="inlineStr">
        <is>
          <t>health_pharm</t>
        </is>
      </c>
      <c r="B155" s="7" t="inlineStr">
        <is>
          <t>Пирантел жидкий</t>
        </is>
      </c>
      <c r="C155" s="13" t="n">
        <v>2</v>
      </c>
      <c r="D155" s="16" t="n">
        <v>140</v>
      </c>
      <c r="E155" s="13" t="n"/>
      <c r="F155" s="13" t="inlineStr">
        <is>
          <t>год</t>
        </is>
      </c>
      <c r="G155" s="15" t="n">
        <v>1</v>
      </c>
      <c r="H155" s="17" t="inlineStr">
        <is>
          <t>https://www.eapteka.ru/search/?q=%D0%BF%D0%B8%D1%80%D0%B0%D0%BD%D1%82%D0%B5%D0%BB%20%D1%81%D1%83%D1%81%D0%BF%D0%B5%D0%BD%D0%B7%D0%B8%D1%8F</t>
        </is>
      </c>
      <c r="I155" s="8" t="inlineStr">
        <is>
          <t>pay</t>
        </is>
      </c>
      <c r="J155" s="18">
        <f>IF(F155="год",1,IF(F155="месяц",MonthsYear,IF(F155="неделя",WeeksYear,0)))</f>
        <v/>
      </c>
      <c r="K155" s="19">
        <f>IF(N(E155)&gt;0,C155*D155/E155,C155*D155*J155)</f>
        <v/>
      </c>
      <c r="L155" s="19">
        <f>IF(G155=0,0,K155/G155)</f>
        <v/>
      </c>
      <c r="M155" s="19">
        <f>IF(L155=0,0,L155/MonthsYear)</f>
        <v/>
      </c>
    </row>
    <row r="156" ht="18" customHeight="1">
      <c r="A156" s="8" t="inlineStr">
        <is>
          <t>health_pharm</t>
        </is>
      </c>
      <c r="B156" s="7" t="inlineStr">
        <is>
          <t>Пластыри</t>
        </is>
      </c>
      <c r="C156" s="13" t="n">
        <v>1</v>
      </c>
      <c r="D156" s="16" t="n">
        <v>99</v>
      </c>
      <c r="E156" s="13" t="n"/>
      <c r="F156" s="13" t="inlineStr">
        <is>
          <t>год</t>
        </is>
      </c>
      <c r="G156" s="15" t="n">
        <v>1</v>
      </c>
      <c r="H156" s="17" t="inlineStr">
        <is>
          <t>https://www.eapteka.ru/search/?q=%D0%BF%D0%BB%D0%B0%D1%81%D1%82%D1%8B%D1%80%D1%8C</t>
        </is>
      </c>
      <c r="I156" s="8" t="inlineStr">
        <is>
          <t>pay</t>
        </is>
      </c>
      <c r="J156" s="18">
        <f>IF(F156="год",1,IF(F156="месяц",MonthsYear,IF(F156="неделя",WeeksYear,0)))</f>
        <v/>
      </c>
      <c r="K156" s="19">
        <f>IF(N(E156)&gt;0,C156*D156/E156,C156*D156*J156)</f>
        <v/>
      </c>
      <c r="L156" s="19">
        <f>IF(G156=0,0,K156/G156)</f>
        <v/>
      </c>
      <c r="M156" s="19">
        <f>IF(L156=0,0,L156/MonthsYear)</f>
        <v/>
      </c>
    </row>
    <row r="157" ht="18" customHeight="1">
      <c r="A157" s="8" t="inlineStr">
        <is>
          <t>health_pharm</t>
        </is>
      </c>
      <c r="B157" s="7" t="inlineStr">
        <is>
          <t>Ушные капли</t>
        </is>
      </c>
      <c r="C157" s="13" t="n">
        <v>1</v>
      </c>
      <c r="D157" s="16" t="n">
        <v>300</v>
      </c>
      <c r="E157" s="13" t="n"/>
      <c r="F157" s="13" t="inlineStr">
        <is>
          <t>год</t>
        </is>
      </c>
      <c r="G157" s="15" t="n">
        <v>3</v>
      </c>
      <c r="H157" s="17" t="inlineStr">
        <is>
          <t>https://www.eapteka.ru/search/?q=%D1%83%D1%88%D0%BD%D1%8B%D0%B5%20%D0%BA%D0%B0%D0%BF%D0%BB%D0%B8</t>
        </is>
      </c>
      <c r="I157" s="8" t="inlineStr">
        <is>
          <t>pay</t>
        </is>
      </c>
      <c r="J157" s="18">
        <f>IF(F157="год",1,IF(F157="месяц",MonthsYear,IF(F157="неделя",WeeksYear,0)))</f>
        <v/>
      </c>
      <c r="K157" s="19">
        <f>IF(N(E157)&gt;0,C157*D157/E157,C157*D157*J157)</f>
        <v/>
      </c>
      <c r="L157" s="19">
        <f>IF(G157=0,0,K157/G157)</f>
        <v/>
      </c>
      <c r="M157" s="19">
        <f>IF(L157=0,0,L157/MonthsYear)</f>
        <v/>
      </c>
    </row>
    <row r="158" ht="18" customHeight="1">
      <c r="A158" s="8" t="inlineStr">
        <is>
          <t>health_serv</t>
        </is>
      </c>
      <c r="B158" s="7" t="inlineStr">
        <is>
          <t>Лечение зуба</t>
        </is>
      </c>
      <c r="C158" s="13" t="n">
        <v>1</v>
      </c>
      <c r="D158" s="16" t="n">
        <v>6000</v>
      </c>
      <c r="E158" s="13" t="n"/>
      <c r="F158" s="13" t="inlineStr">
        <is>
          <t>год</t>
        </is>
      </c>
      <c r="G158" s="15" t="n">
        <v>1</v>
      </c>
      <c r="H158" s="7" t="inlineStr"/>
      <c r="I158" s="8" t="inlineStr">
        <is>
          <t>pay</t>
        </is>
      </c>
      <c r="J158" s="18">
        <f>IF(F158="год",1,IF(F158="месяц",MonthsYear,IF(F158="неделя",WeeksYear,0)))</f>
        <v/>
      </c>
      <c r="K158" s="19">
        <f>IF(N(E158)&gt;0,C158*D158/E158,C158*D158*J158)</f>
        <v/>
      </c>
      <c r="L158" s="19">
        <f>IF(G158=0,0,K158/G158)</f>
        <v/>
      </c>
      <c r="M158" s="19">
        <f>IF(L158=0,0,L158/MonthsYear)</f>
        <v/>
      </c>
    </row>
    <row r="159" ht="18" customHeight="1">
      <c r="A159" s="8" t="inlineStr">
        <is>
          <t>pocket</t>
        </is>
      </c>
      <c r="B159" s="7" t="inlineStr">
        <is>
          <t>Карманные расходы</t>
        </is>
      </c>
      <c r="C159" s="13" t="n">
        <v>1</v>
      </c>
      <c r="D159" s="16" t="n">
        <v>1000</v>
      </c>
      <c r="E159" s="13" t="n"/>
      <c r="F159" s="13" t="inlineStr">
        <is>
          <t>неделя</t>
        </is>
      </c>
      <c r="G159" s="15" t="n">
        <v>1</v>
      </c>
      <c r="H159" s="7" t="inlineStr"/>
      <c r="I159" s="8" t="inlineStr">
        <is>
          <t>pay</t>
        </is>
      </c>
      <c r="J159" s="18">
        <f>IF(F159="год",1,IF(F159="месяц",MonthsYear,IF(F159="неделя",WeeksYear,0)))</f>
        <v/>
      </c>
      <c r="K159" s="19">
        <f>IF(N(E159)&gt;0,C159*D159/E159,C159*D159*J159)</f>
        <v/>
      </c>
      <c r="L159" s="19">
        <f>IF(G159=0,0,K159/G159)</f>
        <v/>
      </c>
      <c r="M159" s="19">
        <f>IF(L159=0,0,L159/MonthsYear)</f>
        <v/>
      </c>
    </row>
    <row r="160" ht="18" customHeight="1">
      <c r="A160" s="8" t="inlineStr">
        <is>
          <t>equip_pay</t>
        </is>
      </c>
      <c r="B160" s="7" t="inlineStr">
        <is>
          <t>Оплата мобильного</t>
        </is>
      </c>
      <c r="C160" s="13" t="n">
        <v>1</v>
      </c>
      <c r="D160" s="16" t="n">
        <v>300</v>
      </c>
      <c r="E160" s="13" t="n"/>
      <c r="F160" s="13" t="inlineStr">
        <is>
          <t>месяц</t>
        </is>
      </c>
      <c r="G160" s="15" t="n">
        <v>1</v>
      </c>
      <c r="H160" s="7" t="inlineStr"/>
      <c r="I160" s="8" t="inlineStr">
        <is>
          <t>pay</t>
        </is>
      </c>
      <c r="J160" s="18">
        <f>IF(F160="год",1,IF(F160="месяц",MonthsYear,IF(F160="неделя",WeeksYear,0)))</f>
        <v/>
      </c>
      <c r="K160" s="19">
        <f>IF(N(E160)&gt;0,C160*D160/E160,C160*D160*J160)</f>
        <v/>
      </c>
      <c r="L160" s="19">
        <f>IF(G160=0,0,K160/G160)</f>
        <v/>
      </c>
      <c r="M160" s="19">
        <f>IF(L160=0,0,L160/MonthsYear)</f>
        <v/>
      </c>
    </row>
    <row r="161" ht="18" customHeight="1">
      <c r="A161" s="8" t="inlineStr">
        <is>
          <t>holidays_pay</t>
        </is>
      </c>
      <c r="B161" s="7" t="inlineStr">
        <is>
          <t>День рождения: подарок</t>
        </is>
      </c>
      <c r="C161" s="13" t="n">
        <v>1</v>
      </c>
      <c r="D161" s="16" t="n">
        <v>5000</v>
      </c>
      <c r="E161" s="13" t="n">
        <v>1</v>
      </c>
      <c r="F161" s="13" t="inlineStr"/>
      <c r="G161" s="15" t="n">
        <v>1</v>
      </c>
      <c r="H161" s="7" t="inlineStr"/>
      <c r="I161" s="8" t="inlineStr">
        <is>
          <t>amort</t>
        </is>
      </c>
      <c r="J161" s="18">
        <f>IF(F161="год",1,IF(F161="месяц",MonthsYear,IF(F161="неделя",WeeksYear,0)))</f>
        <v/>
      </c>
      <c r="K161" s="19">
        <f>IF(N(E161)&gt;0,C161*D161/E161,C161*D161*J161)</f>
        <v/>
      </c>
      <c r="L161" s="19">
        <f>IF(G161=0,0,K161/G161)</f>
        <v/>
      </c>
      <c r="M161" s="19">
        <f>IF(L161=0,0,L161/MonthsYear)</f>
        <v/>
      </c>
    </row>
    <row r="162" ht="18" customHeight="1">
      <c r="A162" s="8" t="inlineStr">
        <is>
          <t>holidays_pay</t>
        </is>
      </c>
      <c r="B162" s="7" t="inlineStr">
        <is>
          <t>День рождения: стол</t>
        </is>
      </c>
      <c r="C162" s="13" t="n">
        <v>1</v>
      </c>
      <c r="D162" s="16" t="n">
        <v>5000</v>
      </c>
      <c r="E162" s="13" t="n">
        <v>1</v>
      </c>
      <c r="F162" s="13" t="inlineStr"/>
      <c r="G162" s="15" t="n">
        <v>1</v>
      </c>
      <c r="H162" s="7" t="inlineStr"/>
      <c r="I162" s="8" t="inlineStr">
        <is>
          <t>amort</t>
        </is>
      </c>
      <c r="J162" s="18">
        <f>IF(F162="год",1,IF(F162="месяц",MonthsYear,IF(F162="неделя",WeeksYear,0)))</f>
        <v/>
      </c>
      <c r="K162" s="19">
        <f>IF(N(E162)&gt;0,C162*D162/E162,C162*D162*J162)</f>
        <v/>
      </c>
      <c r="L162" s="19">
        <f>IF(G162=0,0,K162/G162)</f>
        <v/>
      </c>
      <c r="M162" s="19">
        <f>IF(L162=0,0,L162/MonthsYear)</f>
        <v/>
      </c>
    </row>
    <row r="163" ht="18" customHeight="1">
      <c r="A163" s="8" t="inlineStr">
        <is>
          <t>holidays_pay</t>
        </is>
      </c>
      <c r="B163" s="7" t="inlineStr">
        <is>
          <t>Новый год: подарок ребёнку</t>
        </is>
      </c>
      <c r="C163" s="13" t="n">
        <v>1</v>
      </c>
      <c r="D163" s="16" t="n">
        <v>5000</v>
      </c>
      <c r="E163" s="13" t="n">
        <v>1</v>
      </c>
      <c r="F163" s="13" t="inlineStr"/>
      <c r="G163" s="15" t="n">
        <v>1</v>
      </c>
      <c r="H163" s="7" t="inlineStr"/>
      <c r="I163" s="8" t="inlineStr">
        <is>
          <t>amort</t>
        </is>
      </c>
      <c r="J163" s="18">
        <f>IF(F163="год",1,IF(F163="месяц",MonthsYear,IF(F163="неделя",WeeksYear,0)))</f>
        <v/>
      </c>
      <c r="K163" s="19">
        <f>IF(N(E163)&gt;0,C163*D163/E163,C163*D163*J163)</f>
        <v/>
      </c>
      <c r="L163" s="19">
        <f>IF(G163=0,0,K163/G163)</f>
        <v/>
      </c>
      <c r="M163" s="19">
        <f>IF(L163=0,0,L163/MonthsYear)</f>
        <v/>
      </c>
    </row>
    <row r="164" ht="18" customHeight="1">
      <c r="A164" s="8" t="inlineStr">
        <is>
          <t>holidays_pay</t>
        </is>
      </c>
      <c r="B164" s="7" t="inlineStr">
        <is>
          <t>Подарок на 23 февраля</t>
        </is>
      </c>
      <c r="C164" s="13" t="n">
        <v>1</v>
      </c>
      <c r="D164" s="16" t="n">
        <v>2000</v>
      </c>
      <c r="E164" s="13" t="n">
        <v>1</v>
      </c>
      <c r="F164" s="13" t="inlineStr"/>
      <c r="G164" s="15" t="n">
        <v>1</v>
      </c>
      <c r="H164" s="7" t="inlineStr"/>
      <c r="I164" s="8" t="inlineStr">
        <is>
          <t>amort</t>
        </is>
      </c>
      <c r="J164" s="18">
        <f>IF(F164="год",1,IF(F164="месяц",MonthsYear,IF(F164="неделя",WeeksYear,0)))</f>
        <v/>
      </c>
      <c r="K164" s="19">
        <f>IF(N(E164)&gt;0,C164*D164/E164,C164*D164*J164)</f>
        <v/>
      </c>
      <c r="L164" s="19">
        <f>IF(G164=0,0,K164/G164)</f>
        <v/>
      </c>
      <c r="M164" s="19">
        <f>IF(L164=0,0,L164/MonthsYear)</f>
        <v/>
      </c>
    </row>
    <row r="165" ht="18" customHeight="1">
      <c r="A165" s="8" t="inlineStr">
        <is>
          <t>holidays_pay</t>
        </is>
      </c>
      <c r="B165" s="7" t="inlineStr">
        <is>
          <t>Хотелочки</t>
        </is>
      </c>
      <c r="C165" s="13" t="n">
        <v>12</v>
      </c>
      <c r="D165" s="16" t="n">
        <v>2000</v>
      </c>
      <c r="E165" s="13" t="n">
        <v>1</v>
      </c>
      <c r="F165" s="13" t="inlineStr"/>
      <c r="G165" s="15" t="n">
        <v>1</v>
      </c>
      <c r="H165" s="7" t="inlineStr"/>
      <c r="I165" s="8" t="inlineStr">
        <is>
          <t>amort</t>
        </is>
      </c>
      <c r="J165" s="18">
        <f>IF(F165="год",1,IF(F165="месяц",MonthsYear,IF(F165="неделя",WeeksYear,0)))</f>
        <v/>
      </c>
      <c r="K165" s="19">
        <f>IF(N(E165)&gt;0,C165*D165/E165,C165*D165*J165)</f>
        <v/>
      </c>
      <c r="L165" s="19">
        <f>IF(G165=0,0,K165/G165)</f>
        <v/>
      </c>
      <c r="M165" s="19">
        <f>IF(L165=0,0,L165/MonthsYear)</f>
        <v/>
      </c>
    </row>
    <row r="166" ht="18" customHeight="1">
      <c r="A166" s="8" t="inlineStr">
        <is>
          <t>sport_pay</t>
        </is>
      </c>
      <c r="B166" s="7" t="inlineStr">
        <is>
          <t>Бургер Кинг / кафе</t>
        </is>
      </c>
      <c r="C166" s="13" t="n">
        <v>1</v>
      </c>
      <c r="D166" s="16" t="n">
        <v>1100</v>
      </c>
      <c r="E166" s="13" t="n"/>
      <c r="F166" s="13" t="inlineStr">
        <is>
          <t>неделя</t>
        </is>
      </c>
      <c r="G166" s="15" t="n">
        <v>1</v>
      </c>
      <c r="H166" s="7" t="inlineStr"/>
      <c r="I166" s="8" t="inlineStr">
        <is>
          <t>pay</t>
        </is>
      </c>
      <c r="J166" s="18">
        <f>IF(F166="год",1,IF(F166="месяц",MonthsYear,IF(F166="неделя",WeeksYear,0)))</f>
        <v/>
      </c>
      <c r="K166" s="19">
        <f>IF(N(E166)&gt;0,C166*D166/E166,C166*D166*J166)</f>
        <v/>
      </c>
      <c r="L166" s="19">
        <f>IF(G166=0,0,K166/G166)</f>
        <v/>
      </c>
      <c r="M166" s="19">
        <f>IF(L166=0,0,L166/MonthsYear)</f>
        <v/>
      </c>
    </row>
    <row r="167" ht="18" customHeight="1">
      <c r="A167" s="8" t="inlineStr">
        <is>
          <t>sport_pay</t>
        </is>
      </c>
      <c r="B167" s="7" t="inlineStr">
        <is>
          <t>Зоопарк</t>
        </is>
      </c>
      <c r="C167" s="13" t="n">
        <v>1</v>
      </c>
      <c r="D167" s="16" t="n">
        <v>375</v>
      </c>
      <c r="E167" s="13" t="n"/>
      <c r="F167" s="13" t="inlineStr">
        <is>
          <t>год</t>
        </is>
      </c>
      <c r="G167" s="15" t="n">
        <v>1</v>
      </c>
      <c r="H167" s="7" t="inlineStr"/>
      <c r="I167" s="8" t="inlineStr">
        <is>
          <t>pay</t>
        </is>
      </c>
      <c r="J167" s="18">
        <f>IF(F167="год",1,IF(F167="месяц",MonthsYear,IF(F167="неделя",WeeksYear,0)))</f>
        <v/>
      </c>
      <c r="K167" s="19">
        <f>IF(N(E167)&gt;0,C167*D167/E167,C167*D167*J167)</f>
        <v/>
      </c>
      <c r="L167" s="19">
        <f>IF(G167=0,0,K167/G167)</f>
        <v/>
      </c>
      <c r="M167" s="19">
        <f>IF(L167=0,0,L167/MonthsYear)</f>
        <v/>
      </c>
    </row>
    <row r="168" ht="18" customHeight="1">
      <c r="A168" s="8" t="inlineStr">
        <is>
          <t>sport_pay</t>
        </is>
      </c>
      <c r="B168" s="7" t="inlineStr">
        <is>
          <t>Кино</t>
        </is>
      </c>
      <c r="C168" s="13" t="n">
        <v>1</v>
      </c>
      <c r="D168" s="16" t="n">
        <v>570</v>
      </c>
      <c r="E168" s="13" t="n"/>
      <c r="F168" s="13" t="inlineStr">
        <is>
          <t>месяц</t>
        </is>
      </c>
      <c r="G168" s="15" t="n">
        <v>1</v>
      </c>
      <c r="H168" s="7" t="inlineStr"/>
      <c r="I168" s="8" t="inlineStr">
        <is>
          <t>pay</t>
        </is>
      </c>
      <c r="J168" s="18">
        <f>IF(F168="год",1,IF(F168="месяц",MonthsYear,IF(F168="неделя",WeeksYear,0)))</f>
        <v/>
      </c>
      <c r="K168" s="19">
        <f>IF(N(E168)&gt;0,C168*D168/E168,C168*D168*J168)</f>
        <v/>
      </c>
      <c r="L168" s="19">
        <f>IF(G168=0,0,K168/G168)</f>
        <v/>
      </c>
      <c r="M168" s="19">
        <f>IF(L168=0,0,L168/MonthsYear)</f>
        <v/>
      </c>
    </row>
    <row r="169" ht="18" customHeight="1">
      <c r="A169" s="8" t="inlineStr">
        <is>
          <t>sport_pay</t>
        </is>
      </c>
      <c r="B169" s="7" t="inlineStr">
        <is>
          <t>Поход в цирк</t>
        </is>
      </c>
      <c r="C169" s="13" t="n">
        <v>1</v>
      </c>
      <c r="D169" s="16" t="n">
        <v>2250</v>
      </c>
      <c r="E169" s="13" t="n"/>
      <c r="F169" s="13" t="inlineStr">
        <is>
          <t>год</t>
        </is>
      </c>
      <c r="G169" s="15" t="n">
        <v>1</v>
      </c>
      <c r="H169" s="7" t="inlineStr"/>
      <c r="I169" s="8" t="inlineStr">
        <is>
          <t>pay</t>
        </is>
      </c>
      <c r="J169" s="18">
        <f>IF(F169="год",1,IF(F169="месяц",MonthsYear,IF(F169="неделя",WeeksYear,0)))</f>
        <v/>
      </c>
      <c r="K169" s="19">
        <f>IF(N(E169)&gt;0,C169*D169/E169,C169*D169*J169)</f>
        <v/>
      </c>
      <c r="L169" s="19">
        <f>IF(G169=0,0,K169/G169)</f>
        <v/>
      </c>
      <c r="M169" s="19">
        <f>IF(L169=0,0,L169/MonthsYear)</f>
        <v/>
      </c>
    </row>
    <row r="170" ht="18" customHeight="1">
      <c r="A170" s="8" t="inlineStr">
        <is>
          <t>household_cosmetics</t>
        </is>
      </c>
      <c r="B170" s="7" t="inlineStr">
        <is>
          <t>Ariel Color 6 кг</t>
        </is>
      </c>
      <c r="C170" s="13" t="n">
        <v>6</v>
      </c>
      <c r="D170" s="16" t="n">
        <v>1399</v>
      </c>
      <c r="E170" s="13" t="n"/>
      <c r="F170" s="13" t="inlineStr">
        <is>
          <t>год</t>
        </is>
      </c>
      <c r="G170" s="18">
        <f>FamilySize</f>
        <v/>
      </c>
      <c r="H170" s="17" t="inlineStr">
        <is>
          <t>https://magnit.ru/catalog?q=ariel%20color%206</t>
        </is>
      </c>
      <c r="I170" s="8" t="inlineStr">
        <is>
          <t>pay</t>
        </is>
      </c>
      <c r="J170" s="18">
        <f>IF(F170="год",1,IF(F170="месяц",MonthsYear,IF(F170="неделя",WeeksYear,0)))</f>
        <v/>
      </c>
      <c r="K170" s="19">
        <f>IF(N(E170)&gt;0,C170*D170/E170,C170*D170*J170)</f>
        <v/>
      </c>
      <c r="L170" s="19">
        <f>IF(G170=0,0,K170/G170)</f>
        <v/>
      </c>
      <c r="M170" s="19">
        <f>IF(L170=0,0,L170/MonthsYear)</f>
        <v/>
      </c>
    </row>
    <row r="171" ht="18" customHeight="1">
      <c r="A171" s="8" t="inlineStr">
        <is>
          <t>household_cosmetics</t>
        </is>
      </c>
      <c r="B171" s="7" t="inlineStr">
        <is>
          <t>Lenor ополаскиватель</t>
        </is>
      </c>
      <c r="C171" s="13" t="n">
        <v>6</v>
      </c>
      <c r="D171" s="16" t="n">
        <v>349</v>
      </c>
      <c r="E171" s="13" t="n"/>
      <c r="F171" s="13" t="inlineStr">
        <is>
          <t>год</t>
        </is>
      </c>
      <c r="G171" s="18">
        <f>FamilySize</f>
        <v/>
      </c>
      <c r="H171" s="17" t="inlineStr">
        <is>
          <t>https://magnit.ru/catalog?q=lenor</t>
        </is>
      </c>
      <c r="I171" s="8" t="inlineStr">
        <is>
          <t>pay</t>
        </is>
      </c>
      <c r="J171" s="18">
        <f>IF(F171="год",1,IF(F171="месяц",MonthsYear,IF(F171="неделя",WeeksYear,0)))</f>
        <v/>
      </c>
      <c r="K171" s="19">
        <f>IF(N(E171)&gt;0,C171*D171/E171,C171*D171*J171)</f>
        <v/>
      </c>
      <c r="L171" s="19">
        <f>IF(G171=0,0,K171/G171)</f>
        <v/>
      </c>
      <c r="M171" s="19">
        <f>IF(L171=0,0,L171/MonthsYear)</f>
        <v/>
      </c>
    </row>
    <row r="172" ht="18" customHeight="1">
      <c r="A172" s="8" t="inlineStr">
        <is>
          <t>household_cosmetics</t>
        </is>
      </c>
      <c r="B172" s="7" t="inlineStr">
        <is>
          <t>Ватные диски</t>
        </is>
      </c>
      <c r="C172" s="13" t="n">
        <v>1</v>
      </c>
      <c r="D172" s="16" t="n">
        <v>99</v>
      </c>
      <c r="E172" s="13" t="n"/>
      <c r="F172" s="13" t="inlineStr">
        <is>
          <t>месяц</t>
        </is>
      </c>
      <c r="G172" s="18">
        <f>FamilySize</f>
        <v/>
      </c>
      <c r="H172" s="17" t="inlineStr">
        <is>
          <t>https://magnit.ru/catalog?q=%D0%B2%D0%B0%D1%82%D0%BD%D1%8B%D0%B5%20%D0%B4%D0%B8%D1%81%D0%BA%D0%B8</t>
        </is>
      </c>
      <c r="I172" s="8" t="inlineStr">
        <is>
          <t>pay</t>
        </is>
      </c>
      <c r="J172" s="18">
        <f>IF(F172="год",1,IF(F172="месяц",MonthsYear,IF(F172="неделя",WeeksYear,0)))</f>
        <v/>
      </c>
      <c r="K172" s="19">
        <f>IF(N(E172)&gt;0,C172*D172/E172,C172*D172*J172)</f>
        <v/>
      </c>
      <c r="L172" s="19">
        <f>IF(G172=0,0,K172/G172)</f>
        <v/>
      </c>
      <c r="M172" s="19">
        <f>IF(L172=0,0,L172/MonthsYear)</f>
        <v/>
      </c>
    </row>
    <row r="173" ht="18" customHeight="1">
      <c r="A173" s="8" t="inlineStr">
        <is>
          <t>household_cosmetics</t>
        </is>
      </c>
      <c r="B173" s="7" t="inlineStr">
        <is>
          <t>Ватные палочки</t>
        </is>
      </c>
      <c r="C173" s="13" t="n">
        <v>1</v>
      </c>
      <c r="D173" s="16" t="n">
        <v>89</v>
      </c>
      <c r="E173" s="13" t="n"/>
      <c r="F173" s="13" t="inlineStr">
        <is>
          <t>месяц</t>
        </is>
      </c>
      <c r="G173" s="18">
        <f>FamilySize</f>
        <v/>
      </c>
      <c r="H173" s="17" t="inlineStr">
        <is>
          <t>https://magnit.ru/catalog?q=%D0%B2%D0%B0%D1%82%D0%BD%D1%8B%D0%B5%20%D0%BF%D0%B0%D0%BB%D0%BE%D1%87%D0%BA%D0%B8</t>
        </is>
      </c>
      <c r="I173" s="8" t="inlineStr">
        <is>
          <t>pay</t>
        </is>
      </c>
      <c r="J173" s="18">
        <f>IF(F173="год",1,IF(F173="месяц",MonthsYear,IF(F173="неделя",WeeksYear,0)))</f>
        <v/>
      </c>
      <c r="K173" s="19">
        <f>IF(N(E173)&gt;0,C173*D173/E173,C173*D173*J173)</f>
        <v/>
      </c>
      <c r="L173" s="19">
        <f>IF(G173=0,0,K173/G173)</f>
        <v/>
      </c>
      <c r="M173" s="19">
        <f>IF(L173=0,0,L173/MonthsYear)</f>
        <v/>
      </c>
    </row>
    <row r="174" ht="18" customHeight="1">
      <c r="A174" s="8" t="inlineStr">
        <is>
          <t>household_cosmetics</t>
        </is>
      </c>
      <c r="B174" s="7" t="inlineStr">
        <is>
          <t>Мыло туалетное</t>
        </is>
      </c>
      <c r="C174" s="13" t="n">
        <v>1</v>
      </c>
      <c r="D174" s="16" t="n">
        <v>120</v>
      </c>
      <c r="E174" s="13" t="n"/>
      <c r="F174" s="13" t="inlineStr">
        <is>
          <t>месяц</t>
        </is>
      </c>
      <c r="G174" s="18">
        <f>FamilySize</f>
        <v/>
      </c>
      <c r="H174" s="17" t="inlineStr">
        <is>
          <t>https://magnit.ru/catalog?q=%D0%BC%D1%8B%D0%BB%D0%BE%20%D1%82%D1%83%D0%B0%D0%BB%D0%B5%D1%82%D0%BD%D0%BE%D0%B5</t>
        </is>
      </c>
      <c r="I174" s="8" t="inlineStr">
        <is>
          <t>pay</t>
        </is>
      </c>
      <c r="J174" s="18">
        <f>IF(F174="год",1,IF(F174="месяц",MonthsYear,IF(F174="неделя",WeeksYear,0)))</f>
        <v/>
      </c>
      <c r="K174" s="19">
        <f>IF(N(E174)&gt;0,C174*D174/E174,C174*D174*J174)</f>
        <v/>
      </c>
      <c r="L174" s="19">
        <f>IF(G174=0,0,K174/G174)</f>
        <v/>
      </c>
      <c r="M174" s="19">
        <f>IF(L174=0,0,L174/MonthsYear)</f>
        <v/>
      </c>
    </row>
    <row r="175" ht="18" customHeight="1">
      <c r="A175" s="8" t="inlineStr">
        <is>
          <t>household_dishes</t>
        </is>
      </c>
      <c r="B175" s="7" t="inlineStr">
        <is>
          <t>Графин для воды</t>
        </is>
      </c>
      <c r="C175" s="13" t="n">
        <v>1</v>
      </c>
      <c r="D175" s="16" t="n">
        <v>999</v>
      </c>
      <c r="E175" s="13" t="n">
        <v>5</v>
      </c>
      <c r="F175" s="13" t="inlineStr"/>
      <c r="G175" s="18">
        <f>FamilySize</f>
        <v/>
      </c>
      <c r="H175" s="17" t="inlineStr">
        <is>
          <t>https://leroymerlin.ru/search/?q=%D0%B3%D1%80%D0%B0%D1%84%D0%B8%D0%BD%20%D0%B4%D0%BB%D1%8F%20%D0%B2%D0%BE%D0%B4%D1%8B</t>
        </is>
      </c>
      <c r="I175" s="8" t="inlineStr">
        <is>
          <t>amort</t>
        </is>
      </c>
      <c r="J175" s="18">
        <f>IF(F175="год",1,IF(F175="месяц",MonthsYear,IF(F175="неделя",WeeksYear,0)))</f>
        <v/>
      </c>
      <c r="K175" s="19">
        <f>IF(N(E175)&gt;0,C175*D175/E175,C175*D175*J175)</f>
        <v/>
      </c>
      <c r="L175" s="19">
        <f>IF(G175=0,0,K175/G175)</f>
        <v/>
      </c>
      <c r="M175" s="19">
        <f>IF(L175=0,0,L175/MonthsYear)</f>
        <v/>
      </c>
    </row>
    <row r="176" ht="18" customHeight="1">
      <c r="A176" s="8" t="inlineStr">
        <is>
          <t>household_dishes</t>
        </is>
      </c>
      <c r="B176" s="7" t="inlineStr">
        <is>
          <t>Кассета для фильтра Барьер</t>
        </is>
      </c>
      <c r="C176" s="13" t="n">
        <v>1</v>
      </c>
      <c r="D176" s="16" t="n">
        <v>400</v>
      </c>
      <c r="E176" s="13" t="n"/>
      <c r="F176" s="13" t="inlineStr">
        <is>
          <t>месяц</t>
        </is>
      </c>
      <c r="G176" s="18">
        <f>FamilySize</f>
        <v/>
      </c>
      <c r="H176" s="17" t="inlineStr">
        <is>
          <t>https://barrier.ru/</t>
        </is>
      </c>
      <c r="I176" s="8" t="inlineStr">
        <is>
          <t>amort</t>
        </is>
      </c>
      <c r="J176" s="18">
        <f>IF(F176="год",1,IF(F176="месяц",MonthsYear,IF(F176="неделя",WeeksYear,0)))</f>
        <v/>
      </c>
      <c r="K176" s="19">
        <f>IF(N(E176)&gt;0,C176*D176/E176,C176*D176*J176)</f>
        <v/>
      </c>
      <c r="L176" s="19">
        <f>IF(G176=0,0,K176/G176)</f>
        <v/>
      </c>
      <c r="M176" s="19">
        <f>IF(L176=0,0,L176/MonthsYear)</f>
        <v/>
      </c>
    </row>
    <row r="177" ht="18" customHeight="1">
      <c r="A177" s="8" t="inlineStr">
        <is>
          <t>household_dishes</t>
        </is>
      </c>
      <c r="B177" s="7" t="inlineStr">
        <is>
          <t>Контейнер для круп</t>
        </is>
      </c>
      <c r="C177" s="13" t="n">
        <v>10</v>
      </c>
      <c r="D177" s="16" t="n">
        <v>199</v>
      </c>
      <c r="E177" s="13" t="n">
        <v>5</v>
      </c>
      <c r="F177" s="13" t="inlineStr"/>
      <c r="G177" s="18">
        <f>FamilySize</f>
        <v/>
      </c>
      <c r="H177" s="17" t="inlineStr">
        <is>
          <t>https://leroymerlin.ru/search/?q=%D0%BA%D0%BE%D0%BD%D1%82%D0%B5%D0%B9%D0%BD%D0%B5%D1%80%20%D0%B4%D0%BB%D1%8F%20%D0%BA%D1%80%D1%83%D0%BF</t>
        </is>
      </c>
      <c r="I177" s="8" t="inlineStr">
        <is>
          <t>amort</t>
        </is>
      </c>
      <c r="J177" s="18">
        <f>IF(F177="год",1,IF(F177="месяц",MonthsYear,IF(F177="неделя",WeeksYear,0)))</f>
        <v/>
      </c>
      <c r="K177" s="19">
        <f>IF(N(E177)&gt;0,C177*D177/E177,C177*D177*J177)</f>
        <v/>
      </c>
      <c r="L177" s="19">
        <f>IF(G177=0,0,K177/G177)</f>
        <v/>
      </c>
      <c r="M177" s="19">
        <f>IF(L177=0,0,L177/MonthsYear)</f>
        <v/>
      </c>
    </row>
    <row r="178" ht="18" customHeight="1">
      <c r="A178" s="8" t="inlineStr">
        <is>
          <t>household_dishes</t>
        </is>
      </c>
      <c r="B178" s="7" t="inlineStr">
        <is>
          <t>Набор кастрюль металлический, 4 шт.</t>
        </is>
      </c>
      <c r="C178" s="13" t="n">
        <v>1</v>
      </c>
      <c r="D178" s="16" t="n">
        <v>4999</v>
      </c>
      <c r="E178" s="13" t="n">
        <v>10</v>
      </c>
      <c r="F178" s="13" t="inlineStr"/>
      <c r="G178" s="18">
        <f>FamilySize</f>
        <v/>
      </c>
      <c r="H178" s="17" t="inlineStr">
        <is>
          <t>https://www.dns-shop.ru/search/?q=%D0%BD%D0%B0%D0%B1%D0%BE%D1%80%20%D0%BA%D0%B0%D1%81%D1%82%D1%80%D1%8E%D0%BB%D1%8C%20%D0%BD%D0%B5%D1%80%D0%B6%D0%B0%D0%B2%D0%B5%D1%8E%D1%89%D0%B0%D1%8F</t>
        </is>
      </c>
      <c r="I178" s="8" t="inlineStr">
        <is>
          <t>amort</t>
        </is>
      </c>
      <c r="J178" s="18">
        <f>IF(F178="год",1,IF(F178="месяц",MonthsYear,IF(F178="неделя",WeeksYear,0)))</f>
        <v/>
      </c>
      <c r="K178" s="19">
        <f>IF(N(E178)&gt;0,C178*D178/E178,C178*D178*J178)</f>
        <v/>
      </c>
      <c r="L178" s="19">
        <f>IF(G178=0,0,K178/G178)</f>
        <v/>
      </c>
      <c r="M178" s="19">
        <f>IF(L178=0,0,L178/MonthsYear)</f>
        <v/>
      </c>
    </row>
    <row r="179" ht="18" customHeight="1">
      <c r="A179" s="8" t="inlineStr">
        <is>
          <t>household_dishes</t>
        </is>
      </c>
      <c r="B179" s="7" t="inlineStr">
        <is>
          <t>Набор кастрюль, 2 шт.</t>
        </is>
      </c>
      <c r="C179" s="13" t="n">
        <v>1</v>
      </c>
      <c r="D179" s="16" t="n">
        <v>2499</v>
      </c>
      <c r="E179" s="13" t="n">
        <v>10</v>
      </c>
      <c r="F179" s="13" t="inlineStr"/>
      <c r="G179" s="18">
        <f>FamilySize</f>
        <v/>
      </c>
      <c r="H179" s="17" t="inlineStr">
        <is>
          <t>https://www.dns-shop.ru/search/?q=%D0%BD%D0%B0%D0%B1%D0%BE%D1%80%20%D0%BA%D0%B0%D1%81%D1%82%D1%80%D1%8E%D0%BB%D1%8C</t>
        </is>
      </c>
      <c r="I179" s="8" t="inlineStr">
        <is>
          <t>amort</t>
        </is>
      </c>
      <c r="J179" s="18">
        <f>IF(F179="год",1,IF(F179="месяц",MonthsYear,IF(F179="неделя",WeeksYear,0)))</f>
        <v/>
      </c>
      <c r="K179" s="19">
        <f>IF(N(E179)&gt;0,C179*D179/E179,C179*D179*J179)</f>
        <v/>
      </c>
      <c r="L179" s="19">
        <f>IF(G179=0,0,K179/G179)</f>
        <v/>
      </c>
      <c r="M179" s="19">
        <f>IF(L179=0,0,L179/MonthsYear)</f>
        <v/>
      </c>
    </row>
    <row r="180" ht="18" customHeight="1">
      <c r="A180" s="8" t="inlineStr">
        <is>
          <t>household_dishes</t>
        </is>
      </c>
      <c r="B180" s="7" t="inlineStr">
        <is>
          <t>Нож столовый</t>
        </is>
      </c>
      <c r="C180" s="13" t="n">
        <v>2</v>
      </c>
      <c r="D180" s="16" t="n">
        <v>149</v>
      </c>
      <c r="E180" s="13" t="n">
        <v>5</v>
      </c>
      <c r="F180" s="13" t="inlineStr"/>
      <c r="G180" s="18">
        <f>FamilySize</f>
        <v/>
      </c>
      <c r="H180" s="17" t="inlineStr">
        <is>
          <t>https://leroymerlin.ru/search/?q=%D0%BD%D0%BE%D0%B6%20%D1%81%D1%82%D0%BE%D0%BB%D0%BE%D0%B2%D1%8B%D0%B9</t>
        </is>
      </c>
      <c r="I180" s="8" t="inlineStr">
        <is>
          <t>amort</t>
        </is>
      </c>
      <c r="J180" s="18">
        <f>IF(F180="год",1,IF(F180="месяц",MonthsYear,IF(F180="неделя",WeeksYear,0)))</f>
        <v/>
      </c>
      <c r="K180" s="19">
        <f>IF(N(E180)&gt;0,C180*D180/E180,C180*D180*J180)</f>
        <v/>
      </c>
      <c r="L180" s="19">
        <f>IF(G180=0,0,K180/G180)</f>
        <v/>
      </c>
      <c r="M180" s="19">
        <f>IF(L180=0,0,L180/MonthsYear)</f>
        <v/>
      </c>
    </row>
    <row r="181" ht="18" customHeight="1">
      <c r="A181" s="8" t="inlineStr">
        <is>
          <t>household_dishes</t>
        </is>
      </c>
      <c r="B181" s="7" t="inlineStr">
        <is>
          <t>Разделочная доска</t>
        </is>
      </c>
      <c r="C181" s="13" t="n">
        <v>1</v>
      </c>
      <c r="D181" s="16" t="n">
        <v>599</v>
      </c>
      <c r="E181" s="13" t="n">
        <v>3</v>
      </c>
      <c r="F181" s="13" t="inlineStr"/>
      <c r="G181" s="18">
        <f>FamilySize</f>
        <v/>
      </c>
      <c r="H181" s="17" t="inlineStr">
        <is>
          <t>https://leroymerlin.ru/search/?q=%D0%B4%D0%BE%D1%81%D0%BA%D0%B0%20%D1%80%D0%B0%D0%B7%D0%B4%D0%B5%D0%BB%D0%BE%D1%87%D0%BD%D0%B0%D1%8F</t>
        </is>
      </c>
      <c r="I181" s="8" t="inlineStr">
        <is>
          <t>amort</t>
        </is>
      </c>
      <c r="J181" s="18">
        <f>IF(F181="год",1,IF(F181="месяц",MonthsYear,IF(F181="неделя",WeeksYear,0)))</f>
        <v/>
      </c>
      <c r="K181" s="19">
        <f>IF(N(E181)&gt;0,C181*D181/E181,C181*D181*J181)</f>
        <v/>
      </c>
      <c r="L181" s="19">
        <f>IF(G181=0,0,K181/G181)</f>
        <v/>
      </c>
      <c r="M181" s="19">
        <f>IF(L181=0,0,L181/MonthsYear)</f>
        <v/>
      </c>
    </row>
    <row r="182" ht="18" customHeight="1">
      <c r="A182" s="8" t="inlineStr">
        <is>
          <t>household_dishes</t>
        </is>
      </c>
      <c r="B182" s="7" t="inlineStr">
        <is>
          <t>Салатник</t>
        </is>
      </c>
      <c r="C182" s="13" t="n">
        <v>2</v>
      </c>
      <c r="D182" s="16" t="n">
        <v>399</v>
      </c>
      <c r="E182" s="13" t="n">
        <v>5</v>
      </c>
      <c r="F182" s="13" t="inlineStr"/>
      <c r="G182" s="18">
        <f>FamilySize</f>
        <v/>
      </c>
      <c r="H182" s="17" t="inlineStr">
        <is>
          <t>https://leroymerlin.ru/search/?q=%D1%81%D0%B0%D0%BB%D0%B0%D1%82%D0%BD%D0%B8%D0%BA</t>
        </is>
      </c>
      <c r="I182" s="8" t="inlineStr">
        <is>
          <t>amort</t>
        </is>
      </c>
      <c r="J182" s="18">
        <f>IF(F182="год",1,IF(F182="месяц",MonthsYear,IF(F182="неделя",WeeksYear,0)))</f>
        <v/>
      </c>
      <c r="K182" s="19">
        <f>IF(N(E182)&gt;0,C182*D182/E182,C182*D182*J182)</f>
        <v/>
      </c>
      <c r="L182" s="19">
        <f>IF(G182=0,0,K182/G182)</f>
        <v/>
      </c>
      <c r="M182" s="19">
        <f>IF(L182=0,0,L182/MonthsYear)</f>
        <v/>
      </c>
    </row>
    <row r="183" ht="18" customHeight="1">
      <c r="A183" s="8" t="inlineStr">
        <is>
          <t>household_dishes</t>
        </is>
      </c>
      <c r="B183" s="7" t="inlineStr">
        <is>
          <t>Сковорода большая</t>
        </is>
      </c>
      <c r="C183" s="13" t="n">
        <v>1</v>
      </c>
      <c r="D183" s="16" t="n">
        <v>3000</v>
      </c>
      <c r="E183" s="13" t="n">
        <v>5</v>
      </c>
      <c r="F183" s="13" t="inlineStr"/>
      <c r="G183" s="18">
        <f>FamilySize</f>
        <v/>
      </c>
      <c r="H183" s="17" t="inlineStr">
        <is>
          <t>https://www.dns-shop.ru/search/?q=%D1%81%D0%BA%D0%BE%D0%B2%D0%BE%D1%80%D0%BE%D0%B4%D0%B0</t>
        </is>
      </c>
      <c r="I183" s="8" t="inlineStr">
        <is>
          <t>amort</t>
        </is>
      </c>
      <c r="J183" s="18">
        <f>IF(F183="год",1,IF(F183="месяц",MonthsYear,IF(F183="неделя",WeeksYear,0)))</f>
        <v/>
      </c>
      <c r="K183" s="19">
        <f>IF(N(E183)&gt;0,C183*D183/E183,C183*D183*J183)</f>
        <v/>
      </c>
      <c r="L183" s="19">
        <f>IF(G183=0,0,K183/G183)</f>
        <v/>
      </c>
      <c r="M183" s="19">
        <f>IF(L183=0,0,L183/MonthsYear)</f>
        <v/>
      </c>
    </row>
    <row r="184" ht="18" customHeight="1">
      <c r="A184" s="8" t="inlineStr">
        <is>
          <t>household_dishes</t>
        </is>
      </c>
      <c r="B184" s="7" t="inlineStr">
        <is>
          <t>Столовая ложка</t>
        </is>
      </c>
      <c r="C184" s="13" t="n">
        <v>6</v>
      </c>
      <c r="D184" s="16" t="n">
        <v>59</v>
      </c>
      <c r="E184" s="13" t="n">
        <v>5</v>
      </c>
      <c r="F184" s="13" t="inlineStr"/>
      <c r="G184" s="18">
        <f>FamilySize</f>
        <v/>
      </c>
      <c r="H184" s="17" t="inlineStr">
        <is>
          <t>https://leroymerlin.ru/search/?q=%D0%BB%D0%BE%D0%B6%D0%BA%D0%B0%20%D1%81%D1%82%D0%BE%D0%BB%D0%BE%D0%B2%D0%B0%D1%8F</t>
        </is>
      </c>
      <c r="I184" s="8" t="inlineStr">
        <is>
          <t>amort</t>
        </is>
      </c>
      <c r="J184" s="18">
        <f>IF(F184="год",1,IF(F184="месяц",MonthsYear,IF(F184="неделя",WeeksYear,0)))</f>
        <v/>
      </c>
      <c r="K184" s="19">
        <f>IF(N(E184)&gt;0,C184*D184/E184,C184*D184*J184)</f>
        <v/>
      </c>
      <c r="L184" s="19">
        <f>IF(G184=0,0,K184/G184)</f>
        <v/>
      </c>
      <c r="M184" s="19">
        <f>IF(L184=0,0,L184/MonthsYear)</f>
        <v/>
      </c>
    </row>
    <row r="185" ht="18" customHeight="1">
      <c r="A185" s="8" t="inlineStr">
        <is>
          <t>household_dishes</t>
        </is>
      </c>
      <c r="B185" s="7" t="inlineStr">
        <is>
          <t>Тарелка глубокая</t>
        </is>
      </c>
      <c r="C185" s="13" t="n">
        <v>6</v>
      </c>
      <c r="D185" s="16" t="n">
        <v>249</v>
      </c>
      <c r="E185" s="13" t="n">
        <v>5</v>
      </c>
      <c r="F185" s="13" t="inlineStr"/>
      <c r="G185" s="18">
        <f>FamilySize</f>
        <v/>
      </c>
      <c r="H185" s="17" t="inlineStr">
        <is>
          <t>https://leroymerlin.ru/search/?q=%D1%82%D0%B0%D1%80%D0%B5%D0%BB%D0%BA%D0%B0%20%D0%B3%D0%BB%D1%83%D0%B1%D0%BE%D0%BA%D0%B0%D1%8F</t>
        </is>
      </c>
      <c r="I185" s="8" t="inlineStr">
        <is>
          <t>amort</t>
        </is>
      </c>
      <c r="J185" s="18">
        <f>IF(F185="год",1,IF(F185="месяц",MonthsYear,IF(F185="неделя",WeeksYear,0)))</f>
        <v/>
      </c>
      <c r="K185" s="19">
        <f>IF(N(E185)&gt;0,C185*D185/E185,C185*D185*J185)</f>
        <v/>
      </c>
      <c r="L185" s="19">
        <f>IF(G185=0,0,K185/G185)</f>
        <v/>
      </c>
      <c r="M185" s="19">
        <f>IF(L185=0,0,L185/MonthsYear)</f>
        <v/>
      </c>
    </row>
    <row r="186" ht="18" customHeight="1">
      <c r="A186" s="8" t="inlineStr">
        <is>
          <t>household_dishes</t>
        </is>
      </c>
      <c r="B186" s="7" t="inlineStr">
        <is>
          <t>Тарелка мелкая</t>
        </is>
      </c>
      <c r="C186" s="13" t="n">
        <v>6</v>
      </c>
      <c r="D186" s="16" t="n">
        <v>199</v>
      </c>
      <c r="E186" s="13" t="n">
        <v>5</v>
      </c>
      <c r="F186" s="13" t="inlineStr"/>
      <c r="G186" s="18">
        <f>FamilySize</f>
        <v/>
      </c>
      <c r="H186" s="17" t="inlineStr">
        <is>
          <t>https://leroymerlin.ru/search/?q=%D1%82%D0%B0%D1%80%D0%B5%D0%BB%D0%BA%D0%B0%20%D0%BC%D0%B5%D0%BB%D0%BA%D0%B0%D1%8F</t>
        </is>
      </c>
      <c r="I186" s="8" t="inlineStr">
        <is>
          <t>amort</t>
        </is>
      </c>
      <c r="J186" s="18">
        <f>IF(F186="год",1,IF(F186="месяц",MonthsYear,IF(F186="неделя",WeeksYear,0)))</f>
        <v/>
      </c>
      <c r="K186" s="19">
        <f>IF(N(E186)&gt;0,C186*D186/E186,C186*D186*J186)</f>
        <v/>
      </c>
      <c r="L186" s="19">
        <f>IF(G186=0,0,K186/G186)</f>
        <v/>
      </c>
      <c r="M186" s="19">
        <f>IF(L186=0,0,L186/MonthsYear)</f>
        <v/>
      </c>
    </row>
    <row r="187" ht="18" customHeight="1">
      <c r="A187" s="8" t="inlineStr">
        <is>
          <t>household_dishes</t>
        </is>
      </c>
      <c r="B187" s="7" t="inlineStr">
        <is>
          <t>Тёрка</t>
        </is>
      </c>
      <c r="C187" s="13" t="n">
        <v>1</v>
      </c>
      <c r="D187" s="16" t="n">
        <v>399</v>
      </c>
      <c r="E187" s="13" t="n">
        <v>5</v>
      </c>
      <c r="F187" s="13" t="inlineStr"/>
      <c r="G187" s="18">
        <f>FamilySize</f>
        <v/>
      </c>
      <c r="H187" s="17" t="inlineStr">
        <is>
          <t>https://leroymerlin.ru/search/?q=%D1%82%D0%B5%D1%80%D0%BA%D0%B0</t>
        </is>
      </c>
      <c r="I187" s="8" t="inlineStr">
        <is>
          <t>amort</t>
        </is>
      </c>
      <c r="J187" s="18">
        <f>IF(F187="год",1,IF(F187="месяц",MonthsYear,IF(F187="неделя",WeeksYear,0)))</f>
        <v/>
      </c>
      <c r="K187" s="19">
        <f>IF(N(E187)&gt;0,C187*D187/E187,C187*D187*J187)</f>
        <v/>
      </c>
      <c r="L187" s="19">
        <f>IF(G187=0,0,K187/G187)</f>
        <v/>
      </c>
      <c r="M187" s="19">
        <f>IF(L187=0,0,L187/MonthsYear)</f>
        <v/>
      </c>
    </row>
    <row r="188" ht="18" customHeight="1">
      <c r="A188" s="8" t="inlineStr">
        <is>
          <t>household_dishes</t>
        </is>
      </c>
      <c r="B188" s="7" t="inlineStr">
        <is>
          <t>Чайная ложка</t>
        </is>
      </c>
      <c r="C188" s="13" t="n">
        <v>6</v>
      </c>
      <c r="D188" s="16" t="n">
        <v>49</v>
      </c>
      <c r="E188" s="13" t="n">
        <v>5</v>
      </c>
      <c r="F188" s="13" t="inlineStr"/>
      <c r="G188" s="18">
        <f>FamilySize</f>
        <v/>
      </c>
      <c r="H188" s="17" t="inlineStr">
        <is>
          <t>https://leroymerlin.ru/search/?q=%D0%BB%D0%BE%D0%B6%D0%BA%D0%B0%20%D1%87%D0%B0%D0%B9%D0%BD%D0%B0%D1%8F</t>
        </is>
      </c>
      <c r="I188" s="8" t="inlineStr">
        <is>
          <t>amort</t>
        </is>
      </c>
      <c r="J188" s="18">
        <f>IF(F188="год",1,IF(F188="месяц",MonthsYear,IF(F188="неделя",WeeksYear,0)))</f>
        <v/>
      </c>
      <c r="K188" s="19">
        <f>IF(N(E188)&gt;0,C188*D188/E188,C188*D188*J188)</f>
        <v/>
      </c>
      <c r="L188" s="19">
        <f>IF(G188=0,0,K188/G188)</f>
        <v/>
      </c>
      <c r="M188" s="19">
        <f>IF(L188=0,0,L188/MonthsYear)</f>
        <v/>
      </c>
    </row>
    <row r="189" ht="18" customHeight="1">
      <c r="A189" s="8" t="inlineStr">
        <is>
          <t>household_dishes</t>
        </is>
      </c>
      <c r="B189" s="7" t="inlineStr">
        <is>
          <t>Чайник металлический</t>
        </is>
      </c>
      <c r="C189" s="13" t="n">
        <v>1</v>
      </c>
      <c r="D189" s="16" t="n">
        <v>2999</v>
      </c>
      <c r="E189" s="13" t="n">
        <v>7</v>
      </c>
      <c r="F189" s="13" t="inlineStr"/>
      <c r="G189" s="18">
        <f>FamilySize</f>
        <v/>
      </c>
      <c r="H189" s="17" t="inlineStr">
        <is>
          <t>https://www.dns-shop.ru/search/?q=%D1%87%D0%B0%D0%B9%D0%BD%D0%B8%D0%BA%20tefal</t>
        </is>
      </c>
      <c r="I189" s="8" t="inlineStr">
        <is>
          <t>amort</t>
        </is>
      </c>
      <c r="J189" s="18">
        <f>IF(F189="год",1,IF(F189="месяц",MonthsYear,IF(F189="неделя",WeeksYear,0)))</f>
        <v/>
      </c>
      <c r="K189" s="19">
        <f>IF(N(E189)&gt;0,C189*D189/E189,C189*D189*J189)</f>
        <v/>
      </c>
      <c r="L189" s="19">
        <f>IF(G189=0,0,K189/G189)</f>
        <v/>
      </c>
      <c r="M189" s="19">
        <f>IF(L189=0,0,L189/MonthsYear)</f>
        <v/>
      </c>
    </row>
    <row r="190" ht="18" customHeight="1">
      <c r="A190" s="8" t="inlineStr">
        <is>
          <t>household_dishes</t>
        </is>
      </c>
      <c r="B190" s="7" t="inlineStr">
        <is>
          <t>Чашка</t>
        </is>
      </c>
      <c r="C190" s="13" t="n">
        <v>6</v>
      </c>
      <c r="D190" s="16" t="n">
        <v>199</v>
      </c>
      <c r="E190" s="13" t="n">
        <v>5</v>
      </c>
      <c r="F190" s="13" t="inlineStr"/>
      <c r="G190" s="18">
        <f>FamilySize</f>
        <v/>
      </c>
      <c r="H190" s="17" t="inlineStr">
        <is>
          <t>https://leroymerlin.ru/search/?q=%D1%87%D0%B0%D1%88%D0%BA%D0%B0</t>
        </is>
      </c>
      <c r="I190" s="8" t="inlineStr">
        <is>
          <t>amort</t>
        </is>
      </c>
      <c r="J190" s="18">
        <f>IF(F190="год",1,IF(F190="месяц",MonthsYear,IF(F190="неделя",WeeksYear,0)))</f>
        <v/>
      </c>
      <c r="K190" s="19">
        <f>IF(N(E190)&gt;0,C190*D190/E190,C190*D190*J190)</f>
        <v/>
      </c>
      <c r="L190" s="19">
        <f>IF(G190=0,0,K190/G190)</f>
        <v/>
      </c>
      <c r="M190" s="19">
        <f>IF(L190=0,0,L190/MonthsYear)</f>
        <v/>
      </c>
    </row>
    <row r="191" ht="18" customHeight="1">
      <c r="A191" s="8" t="inlineStr">
        <is>
          <t>household_tech</t>
        </is>
      </c>
      <c r="B191" s="7" t="inlineStr">
        <is>
          <t>Колонка Sony</t>
        </is>
      </c>
      <c r="C191" s="13" t="n">
        <v>1</v>
      </c>
      <c r="D191" s="16" t="n">
        <v>2000</v>
      </c>
      <c r="E191" s="13" t="n">
        <v>5</v>
      </c>
      <c r="F191" s="13" t="inlineStr"/>
      <c r="G191" s="18">
        <f>FamilySize</f>
        <v/>
      </c>
      <c r="H191" s="17" t="inlineStr">
        <is>
          <t>https://www.dns-shop.ru/search/?q=%D0%BA%D0%BE%D0%BB%D0%BE%D0%BD%D0%BA%D0%B0%20sony</t>
        </is>
      </c>
      <c r="I191" s="8" t="inlineStr">
        <is>
          <t>amort</t>
        </is>
      </c>
      <c r="J191" s="18">
        <f>IF(F191="год",1,IF(F191="месяц",MonthsYear,IF(F191="неделя",WeeksYear,0)))</f>
        <v/>
      </c>
      <c r="K191" s="19">
        <f>IF(N(E191)&gt;0,C191*D191/E191,C191*D191*J191)</f>
        <v/>
      </c>
      <c r="L191" s="19">
        <f>IF(G191=0,0,K191/G191)</f>
        <v/>
      </c>
      <c r="M191" s="19">
        <f>IF(L191=0,0,L191/MonthsYear)</f>
        <v/>
      </c>
    </row>
    <row r="192" ht="18" customHeight="1">
      <c r="A192" s="8" t="inlineStr">
        <is>
          <t>household_tech</t>
        </is>
      </c>
      <c r="B192" s="7" t="inlineStr">
        <is>
          <t>Микроволновка</t>
        </is>
      </c>
      <c r="C192" s="13" t="n">
        <v>1</v>
      </c>
      <c r="D192" s="16" t="n">
        <v>6999</v>
      </c>
      <c r="E192" s="13" t="n">
        <v>8</v>
      </c>
      <c r="F192" s="13" t="inlineStr"/>
      <c r="G192" s="18">
        <f>FamilySize</f>
        <v/>
      </c>
      <c r="H192" s="17" t="inlineStr">
        <is>
          <t>https://www.dns-shop.ru/search/?q=%D0%BC%D0%B8%D0%BA%D1%80%D0%BE%D0%B2%D0%BE%D0%BB%D0%BD%D0%BE%D0%B2%D0%BA%D0%B0</t>
        </is>
      </c>
      <c r="I192" s="8" t="inlineStr">
        <is>
          <t>amort</t>
        </is>
      </c>
      <c r="J192" s="18">
        <f>IF(F192="год",1,IF(F192="месяц",MonthsYear,IF(F192="неделя",WeeksYear,0)))</f>
        <v/>
      </c>
      <c r="K192" s="19">
        <f>IF(N(E192)&gt;0,C192*D192/E192,C192*D192*J192)</f>
        <v/>
      </c>
      <c r="L192" s="19">
        <f>IF(G192=0,0,K192/G192)</f>
        <v/>
      </c>
      <c r="M192" s="19">
        <f>IF(L192=0,0,L192/MonthsYear)</f>
        <v/>
      </c>
    </row>
    <row r="193" ht="18" customHeight="1">
      <c r="A193" s="8" t="inlineStr">
        <is>
          <t>household_tech</t>
        </is>
      </c>
      <c r="B193" s="7" t="inlineStr">
        <is>
          <t>Мультиварка</t>
        </is>
      </c>
      <c r="C193" s="13" t="n">
        <v>1</v>
      </c>
      <c r="D193" s="16" t="n">
        <v>6999</v>
      </c>
      <c r="E193" s="13" t="n">
        <v>7</v>
      </c>
      <c r="F193" s="13" t="inlineStr"/>
      <c r="G193" s="18">
        <f>FamilySize</f>
        <v/>
      </c>
      <c r="H193" s="17" t="inlineStr">
        <is>
          <t>https://www.dns-shop.ru/search/?q=%D0%BC%D1%83%D0%BB%D1%8C%D1%82%D0%B8%D0%B2%D0%B0%D1%80%D0%BA%D0%B0</t>
        </is>
      </c>
      <c r="I193" s="8" t="inlineStr">
        <is>
          <t>amort</t>
        </is>
      </c>
      <c r="J193" s="18">
        <f>IF(F193="год",1,IF(F193="месяц",MonthsYear,IF(F193="неделя",WeeksYear,0)))</f>
        <v/>
      </c>
      <c r="K193" s="19">
        <f>IF(N(E193)&gt;0,C193*D193/E193,C193*D193*J193)</f>
        <v/>
      </c>
      <c r="L193" s="19">
        <f>IF(G193=0,0,K193/G193)</f>
        <v/>
      </c>
      <c r="M193" s="19">
        <f>IF(L193=0,0,L193/MonthsYear)</f>
        <v/>
      </c>
    </row>
    <row r="194" ht="18" customHeight="1">
      <c r="A194" s="8" t="inlineStr">
        <is>
          <t>household_tech</t>
        </is>
      </c>
      <c r="B194" s="7" t="inlineStr">
        <is>
          <t>Мясорубка</t>
        </is>
      </c>
      <c r="C194" s="13" t="n">
        <v>1</v>
      </c>
      <c r="D194" s="16" t="n">
        <v>3999</v>
      </c>
      <c r="E194" s="13" t="n">
        <v>8</v>
      </c>
      <c r="F194" s="13" t="inlineStr"/>
      <c r="G194" s="18">
        <f>FamilySize</f>
        <v/>
      </c>
      <c r="H194" s="17" t="inlineStr">
        <is>
          <t>https://www.dns-shop.ru/search/?q=%D0%BC%D1%8F%D1%81%D0%BE%D1%80%D1%83%D0%B1%D0%BA%D0%B0</t>
        </is>
      </c>
      <c r="I194" s="8" t="inlineStr">
        <is>
          <t>amort</t>
        </is>
      </c>
      <c r="J194" s="18">
        <f>IF(F194="год",1,IF(F194="месяц",MonthsYear,IF(F194="неделя",WeeksYear,0)))</f>
        <v/>
      </c>
      <c r="K194" s="19">
        <f>IF(N(E194)&gt;0,C194*D194/E194,C194*D194*J194)</f>
        <v/>
      </c>
      <c r="L194" s="19">
        <f>IF(G194=0,0,K194/G194)</f>
        <v/>
      </c>
      <c r="M194" s="19">
        <f>IF(L194=0,0,L194/MonthsYear)</f>
        <v/>
      </c>
    </row>
    <row r="195" ht="18" customHeight="1">
      <c r="A195" s="8" t="inlineStr">
        <is>
          <t>household_tech</t>
        </is>
      </c>
      <c r="B195" s="7" t="inlineStr">
        <is>
          <t>Пароварка</t>
        </is>
      </c>
      <c r="C195" s="13" t="n">
        <v>1</v>
      </c>
      <c r="D195" s="16" t="n">
        <v>4499</v>
      </c>
      <c r="E195" s="13" t="n">
        <v>7</v>
      </c>
      <c r="F195" s="13" t="inlineStr"/>
      <c r="G195" s="18">
        <f>FamilySize</f>
        <v/>
      </c>
      <c r="H195" s="17" t="inlineStr">
        <is>
          <t>https://www.dns-shop.ru/search/?q=%D0%BF%D0%B0%D1%80%D0%BE%D0%B2%D0%B0%D1%80%D0%BA%D0%B0</t>
        </is>
      </c>
      <c r="I195" s="8" t="inlineStr">
        <is>
          <t>amort</t>
        </is>
      </c>
      <c r="J195" s="18">
        <f>IF(F195="год",1,IF(F195="месяц",MonthsYear,IF(F195="неделя",WeeksYear,0)))</f>
        <v/>
      </c>
      <c r="K195" s="19">
        <f>IF(N(E195)&gt;0,C195*D195/E195,C195*D195*J195)</f>
        <v/>
      </c>
      <c r="L195" s="19">
        <f>IF(G195=0,0,K195/G195)</f>
        <v/>
      </c>
      <c r="M195" s="19">
        <f>IF(L195=0,0,L195/MonthsYear)</f>
        <v/>
      </c>
    </row>
    <row r="196" ht="18" customHeight="1">
      <c r="A196" s="8" t="inlineStr">
        <is>
          <t>household_tech</t>
        </is>
      </c>
      <c r="B196" s="7" t="inlineStr">
        <is>
          <t>Плита газовая</t>
        </is>
      </c>
      <c r="C196" s="13" t="n">
        <v>1</v>
      </c>
      <c r="D196" s="16" t="n">
        <v>24999</v>
      </c>
      <c r="E196" s="13" t="n">
        <v>10</v>
      </c>
      <c r="F196" s="13" t="inlineStr"/>
      <c r="G196" s="18">
        <f>FamilySize</f>
        <v/>
      </c>
      <c r="H196" s="17" t="inlineStr">
        <is>
          <t>https://www.dns-shop.ru/search/?q=%D0%BF%D0%BB%D0%B8%D1%82%D0%B0%20%D0%B3%D0%B0%D0%B7%D0%BE%D0%B2%D0%B0%D1%8F</t>
        </is>
      </c>
      <c r="I196" s="8" t="inlineStr">
        <is>
          <t>amort</t>
        </is>
      </c>
      <c r="J196" s="18">
        <f>IF(F196="год",1,IF(F196="месяц",MonthsYear,IF(F196="неделя",WeeksYear,0)))</f>
        <v/>
      </c>
      <c r="K196" s="19">
        <f>IF(N(E196)&gt;0,C196*D196/E196,C196*D196*J196)</f>
        <v/>
      </c>
      <c r="L196" s="19">
        <f>IF(G196=0,0,K196/G196)</f>
        <v/>
      </c>
      <c r="M196" s="19">
        <f>IF(L196=0,0,L196/MonthsYear)</f>
        <v/>
      </c>
    </row>
    <row r="197" ht="18" customHeight="1">
      <c r="A197" s="8" t="inlineStr">
        <is>
          <t>household_tech</t>
        </is>
      </c>
      <c r="B197" s="7" t="inlineStr">
        <is>
          <t>Соковыжималка</t>
        </is>
      </c>
      <c r="C197" s="13" t="n">
        <v>1</v>
      </c>
      <c r="D197" s="16" t="n">
        <v>4999</v>
      </c>
      <c r="E197" s="13" t="n">
        <v>7</v>
      </c>
      <c r="F197" s="13" t="inlineStr"/>
      <c r="G197" s="18">
        <f>FamilySize</f>
        <v/>
      </c>
      <c r="H197" s="17" t="inlineStr">
        <is>
          <t>https://www.dns-shop.ru/search/?q=%D1%81%D0%BE%D0%BA%D0%BE%D0%B2%D1%8B%D0%B6%D0%B8%D0%BC%D0%B0%D0%BB%D0%BA%D0%B0</t>
        </is>
      </c>
      <c r="I197" s="8" t="inlineStr">
        <is>
          <t>amort</t>
        </is>
      </c>
      <c r="J197" s="18">
        <f>IF(F197="год",1,IF(F197="месяц",MonthsYear,IF(F197="неделя",WeeksYear,0)))</f>
        <v/>
      </c>
      <c r="K197" s="19">
        <f>IF(N(E197)&gt;0,C197*D197/E197,C197*D197*J197)</f>
        <v/>
      </c>
      <c r="L197" s="19">
        <f>IF(G197=0,0,K197/G197)</f>
        <v/>
      </c>
      <c r="M197" s="19">
        <f>IF(L197=0,0,L197/MonthsYear)</f>
        <v/>
      </c>
    </row>
    <row r="198" ht="18" customHeight="1">
      <c r="A198" s="8" t="inlineStr">
        <is>
          <t>household_tech</t>
        </is>
      </c>
      <c r="B198" s="7" t="inlineStr">
        <is>
          <t>Стиральная машина Bosch</t>
        </is>
      </c>
      <c r="C198" s="13" t="n">
        <v>1</v>
      </c>
      <c r="D198" s="16" t="n">
        <v>45000</v>
      </c>
      <c r="E198" s="13" t="n">
        <v>8</v>
      </c>
      <c r="F198" s="13" t="inlineStr"/>
      <c r="G198" s="18">
        <f>FamilySize</f>
        <v/>
      </c>
      <c r="H198" s="17" t="inlineStr">
        <is>
          <t>https://www.dns-shop.ru/search/?q=%D1%81%D1%82%D0%B8%D1%80%D0%B0%D0%BB%D1%8C%D0%BD%D0%B0%D1%8F%20%D0%BC%D0%B0%D1%88%D0%B8%D0%BD%D0%B0%20Bosch</t>
        </is>
      </c>
      <c r="I198" s="8" t="inlineStr">
        <is>
          <t>amort</t>
        </is>
      </c>
      <c r="J198" s="18">
        <f>IF(F198="год",1,IF(F198="месяц",MonthsYear,IF(F198="неделя",WeeksYear,0)))</f>
        <v/>
      </c>
      <c r="K198" s="19">
        <f>IF(N(E198)&gt;0,C198*D198/E198,C198*D198*J198)</f>
        <v/>
      </c>
      <c r="L198" s="19">
        <f>IF(G198=0,0,K198/G198)</f>
        <v/>
      </c>
      <c r="M198" s="19">
        <f>IF(L198=0,0,L198/MonthsYear)</f>
        <v/>
      </c>
    </row>
    <row r="199" ht="18" customHeight="1">
      <c r="A199" s="8" t="inlineStr">
        <is>
          <t>household_tech</t>
        </is>
      </c>
      <c r="B199" s="7" t="inlineStr">
        <is>
          <t>Телевизор маленький</t>
        </is>
      </c>
      <c r="C199" s="13" t="n">
        <v>1</v>
      </c>
      <c r="D199" s="16" t="n">
        <v>10000</v>
      </c>
      <c r="E199" s="13" t="n">
        <v>7</v>
      </c>
      <c r="F199" s="13" t="inlineStr"/>
      <c r="G199" s="18">
        <f>FamilySize</f>
        <v/>
      </c>
      <c r="H199" s="17" t="inlineStr">
        <is>
          <t>https://www.dns-shop.ru/search/?q=%D1%82%D0%B5%D0%BB%D0%B5%D0%B2%D0%B8%D0%B7%D0%BE%D1%80</t>
        </is>
      </c>
      <c r="I199" s="8" t="inlineStr">
        <is>
          <t>amort</t>
        </is>
      </c>
      <c r="J199" s="18">
        <f>IF(F199="год",1,IF(F199="месяц",MonthsYear,IF(F199="неделя",WeeksYear,0)))</f>
        <v/>
      </c>
      <c r="K199" s="19">
        <f>IF(N(E199)&gt;0,C199*D199/E199,C199*D199*J199)</f>
        <v/>
      </c>
      <c r="L199" s="19">
        <f>IF(G199=0,0,K199/G199)</f>
        <v/>
      </c>
      <c r="M199" s="19">
        <f>IF(L199=0,0,L199/MonthsYear)</f>
        <v/>
      </c>
    </row>
    <row r="200" ht="18" customHeight="1">
      <c r="A200" s="8" t="inlineStr">
        <is>
          <t>household_tech</t>
        </is>
      </c>
      <c r="B200" s="7" t="inlineStr">
        <is>
          <t>Тостер</t>
        </is>
      </c>
      <c r="C200" s="13" t="n">
        <v>1</v>
      </c>
      <c r="D200" s="16" t="n">
        <v>1999</v>
      </c>
      <c r="E200" s="13" t="n">
        <v>5</v>
      </c>
      <c r="F200" s="13" t="inlineStr"/>
      <c r="G200" s="18">
        <f>FamilySize</f>
        <v/>
      </c>
      <c r="H200" s="17" t="inlineStr">
        <is>
          <t>https://www.dns-shop.ru/search/?q=%D1%82%D0%BE%D1%81%D1%82%D0%B5%D1%80</t>
        </is>
      </c>
      <c r="I200" s="8" t="inlineStr">
        <is>
          <t>amort</t>
        </is>
      </c>
      <c r="J200" s="18">
        <f>IF(F200="год",1,IF(F200="месяц",MonthsYear,IF(F200="неделя",WeeksYear,0)))</f>
        <v/>
      </c>
      <c r="K200" s="19">
        <f>IF(N(E200)&gt;0,C200*D200/E200,C200*D200*J200)</f>
        <v/>
      </c>
      <c r="L200" s="19">
        <f>IF(G200=0,0,K200/G200)</f>
        <v/>
      </c>
      <c r="M200" s="19">
        <f>IF(L200=0,0,L200/MonthsYear)</f>
        <v/>
      </c>
    </row>
    <row r="201" ht="18" customHeight="1">
      <c r="A201" s="8" t="inlineStr">
        <is>
          <t>household_tech</t>
        </is>
      </c>
      <c r="B201" s="7" t="inlineStr">
        <is>
          <t>Фильтр Барьер</t>
        </is>
      </c>
      <c r="C201" s="13" t="n">
        <v>1</v>
      </c>
      <c r="D201" s="16" t="n">
        <v>999</v>
      </c>
      <c r="E201" s="13" t="n">
        <v>2</v>
      </c>
      <c r="F201" s="13" t="inlineStr"/>
      <c r="G201" s="18">
        <f>FamilySize</f>
        <v/>
      </c>
      <c r="H201" s="17" t="inlineStr">
        <is>
          <t>https://barrier.ru/</t>
        </is>
      </c>
      <c r="I201" s="8" t="inlineStr">
        <is>
          <t>amort</t>
        </is>
      </c>
      <c r="J201" s="18">
        <f>IF(F201="год",1,IF(F201="месяц",MonthsYear,IF(F201="неделя",WeeksYear,0)))</f>
        <v/>
      </c>
      <c r="K201" s="19">
        <f>IF(N(E201)&gt;0,C201*D201/E201,C201*D201*J201)</f>
        <v/>
      </c>
      <c r="L201" s="19">
        <f>IF(G201=0,0,K201/G201)</f>
        <v/>
      </c>
      <c r="M201" s="19">
        <f>IF(L201=0,0,L201/MonthsYear)</f>
        <v/>
      </c>
    </row>
    <row r="202" ht="18" customHeight="1">
      <c r="A202" s="8" t="inlineStr">
        <is>
          <t>household_tech</t>
        </is>
      </c>
      <c r="B202" s="7" t="inlineStr">
        <is>
          <t>Холодильник</t>
        </is>
      </c>
      <c r="C202" s="13" t="n">
        <v>1</v>
      </c>
      <c r="D202" s="16" t="n">
        <v>45000</v>
      </c>
      <c r="E202" s="13" t="n">
        <v>10</v>
      </c>
      <c r="F202" s="13" t="inlineStr"/>
      <c r="G202" s="18">
        <f>FamilySize</f>
        <v/>
      </c>
      <c r="H202" s="17" t="inlineStr">
        <is>
          <t>https://www.dns-shop.ru/search/?q=%D1%85%D0%BE%D0%BB%D0%BE%D0%B4%D0%B8%D0%BB%D1%8C%D0%BD%D0%B8%D0%BA</t>
        </is>
      </c>
      <c r="I202" s="8" t="inlineStr">
        <is>
          <t>amort</t>
        </is>
      </c>
      <c r="J202" s="18">
        <f>IF(F202="год",1,IF(F202="месяц",MonthsYear,IF(F202="неделя",WeeksYear,0)))</f>
        <v/>
      </c>
      <c r="K202" s="19">
        <f>IF(N(E202)&gt;0,C202*D202/E202,C202*D202*J202)</f>
        <v/>
      </c>
      <c r="L202" s="19">
        <f>IF(G202=0,0,K202/G202)</f>
        <v/>
      </c>
      <c r="M202" s="19">
        <f>IF(L202=0,0,L202/MonthsYear)</f>
        <v/>
      </c>
    </row>
    <row r="203" ht="18" customHeight="1">
      <c r="A203" s="8" t="inlineStr">
        <is>
          <t>household_tech</t>
        </is>
      </c>
      <c r="B203" s="7" t="inlineStr">
        <is>
          <t>Чайник электрический</t>
        </is>
      </c>
      <c r="C203" s="13" t="n">
        <v>1</v>
      </c>
      <c r="D203" s="16" t="n">
        <v>1999</v>
      </c>
      <c r="E203" s="13" t="n">
        <v>7</v>
      </c>
      <c r="F203" s="13" t="inlineStr"/>
      <c r="G203" s="18">
        <f>FamilySize</f>
        <v/>
      </c>
      <c r="H203" s="17" t="inlineStr">
        <is>
          <t>https://www.dns-shop.ru/search/?q=%D1%87%D0%B0%D0%B9%D0%BD%D0%B8%D0%BA</t>
        </is>
      </c>
      <c r="I203" s="8" t="inlineStr">
        <is>
          <t>amort</t>
        </is>
      </c>
      <c r="J203" s="18">
        <f>IF(F203="год",1,IF(F203="месяц",MonthsYear,IF(F203="неделя",WeeksYear,0)))</f>
        <v/>
      </c>
      <c r="K203" s="19">
        <f>IF(N(E203)&gt;0,C203*D203/E203,C203*D203*J203)</f>
        <v/>
      </c>
      <c r="L203" s="19">
        <f>IF(G203=0,0,K203/G203)</f>
        <v/>
      </c>
      <c r="M203" s="19">
        <f>IF(L203=0,0,L203/MonthsYear)</f>
        <v/>
      </c>
    </row>
    <row r="204" ht="18" customHeight="1">
      <c r="A204" s="8" t="inlineStr">
        <is>
          <t>home_comfort</t>
        </is>
      </c>
      <c r="B204" s="7" t="inlineStr">
        <is>
          <t>Гладильная доска</t>
        </is>
      </c>
      <c r="C204" s="13" t="n">
        <v>1</v>
      </c>
      <c r="D204" s="16" t="n">
        <v>2499</v>
      </c>
      <c r="E204" s="13" t="n">
        <v>7</v>
      </c>
      <c r="F204" s="13" t="inlineStr"/>
      <c r="G204" s="18">
        <f>FamilySize</f>
        <v/>
      </c>
      <c r="H204" s="17" t="inlineStr">
        <is>
          <t>https://leroymerlin.ru/search/?q=%D0%B3%D0%BB%D0%B0%D0%B4%D0%B8%D0%BB%D1%8C%D0%BD%D0%B0%D1%8F%20%D0%B4%D0%BE%D1%81%D0%BA%D0%B0</t>
        </is>
      </c>
      <c r="I204" s="8" t="inlineStr">
        <is>
          <t>amort</t>
        </is>
      </c>
      <c r="J204" s="18">
        <f>IF(F204="год",1,IF(F204="месяц",MonthsYear,IF(F204="неделя",WeeksYear,0)))</f>
        <v/>
      </c>
      <c r="K204" s="19">
        <f>IF(N(E204)&gt;0,C204*D204/E204,C204*D204*J204)</f>
        <v/>
      </c>
      <c r="L204" s="19">
        <f>IF(G204=0,0,K204/G204)</f>
        <v/>
      </c>
      <c r="M204" s="19">
        <f>IF(L204=0,0,L204/MonthsYear)</f>
        <v/>
      </c>
    </row>
    <row r="205" ht="18" customHeight="1">
      <c r="A205" s="8" t="inlineStr">
        <is>
          <t>home_comfort</t>
        </is>
      </c>
      <c r="B205" s="7" t="inlineStr">
        <is>
          <t>Кухонный гарнитур</t>
        </is>
      </c>
      <c r="C205" s="13" t="n">
        <v>1</v>
      </c>
      <c r="D205" s="16" t="n">
        <v>80000</v>
      </c>
      <c r="E205" s="13" t="n">
        <v>10</v>
      </c>
      <c r="F205" s="13" t="inlineStr"/>
      <c r="G205" s="18">
        <f>FamilySize</f>
        <v/>
      </c>
      <c r="H205" s="17" t="inlineStr">
        <is>
          <t>https://lemanapro.ru/catalogue/kuhni/</t>
        </is>
      </c>
      <c r="I205" s="8" t="inlineStr">
        <is>
          <t>amort</t>
        </is>
      </c>
      <c r="J205" s="18">
        <f>IF(F205="год",1,IF(F205="месяц",MonthsYear,IF(F205="неделя",WeeksYear,0)))</f>
        <v/>
      </c>
      <c r="K205" s="19">
        <f>IF(N(E205)&gt;0,C205*D205/E205,C205*D205*J205)</f>
        <v/>
      </c>
      <c r="L205" s="19">
        <f>IF(G205=0,0,K205/G205)</f>
        <v/>
      </c>
      <c r="M205" s="19">
        <f>IF(L205=0,0,L205/MonthsYear)</f>
        <v/>
      </c>
    </row>
    <row r="206" ht="18" customHeight="1">
      <c r="A206" s="8" t="inlineStr">
        <is>
          <t>home_comfort</t>
        </is>
      </c>
      <c r="B206" s="7" t="inlineStr">
        <is>
          <t>Мусорное ведро</t>
        </is>
      </c>
      <c r="C206" s="13" t="n">
        <v>1</v>
      </c>
      <c r="D206" s="16" t="n">
        <v>3499</v>
      </c>
      <c r="E206" s="13" t="n">
        <v>7</v>
      </c>
      <c r="F206" s="13" t="inlineStr"/>
      <c r="G206" s="18">
        <f>FamilySize</f>
        <v/>
      </c>
      <c r="H206" s="17" t="inlineStr">
        <is>
          <t>https://leroymerlin.ru/search/?q=%D0%BC%D1%83%D1%81%D0%BE%D1%80%D0%BD%D0%BE%D0%B5%20%D0%B2%D0%B5%D0%B4%D1%80%D0%BE</t>
        </is>
      </c>
      <c r="I206" s="8" t="inlineStr">
        <is>
          <t>amort</t>
        </is>
      </c>
      <c r="J206" s="18">
        <f>IF(F206="год",1,IF(F206="месяц",MonthsYear,IF(F206="неделя",WeeksYear,0)))</f>
        <v/>
      </c>
      <c r="K206" s="19">
        <f>IF(N(E206)&gt;0,C206*D206/E206,C206*D206*J206)</f>
        <v/>
      </c>
      <c r="L206" s="19">
        <f>IF(G206=0,0,K206/G206)</f>
        <v/>
      </c>
      <c r="M206" s="19">
        <f>IF(L206=0,0,L206/MonthsYear)</f>
        <v/>
      </c>
    </row>
    <row r="207" ht="18" customHeight="1">
      <c r="A207" s="8" t="inlineStr">
        <is>
          <t>home_comfort</t>
        </is>
      </c>
      <c r="B207" s="7" t="inlineStr">
        <is>
          <t>Отпариватель</t>
        </is>
      </c>
      <c r="C207" s="13" t="n">
        <v>1</v>
      </c>
      <c r="D207" s="16" t="n">
        <v>3999</v>
      </c>
      <c r="E207" s="13" t="n">
        <v>5</v>
      </c>
      <c r="F207" s="13" t="inlineStr"/>
      <c r="G207" s="18">
        <f>FamilySize</f>
        <v/>
      </c>
      <c r="H207" s="17" t="inlineStr">
        <is>
          <t>https://www.dns-shop.ru/search/?q=%D0%BE%D1%82%D0%BF%D0%B0%D1%80%D0%B8%D0%B2%D0%B0%D1%82%D0%B5%D0%BB%D1%8C</t>
        </is>
      </c>
      <c r="I207" s="8" t="inlineStr">
        <is>
          <t>amort</t>
        </is>
      </c>
      <c r="J207" s="18">
        <f>IF(F207="год",1,IF(F207="месяц",MonthsYear,IF(F207="неделя",WeeksYear,0)))</f>
        <v/>
      </c>
      <c r="K207" s="19">
        <f>IF(N(E207)&gt;0,C207*D207/E207,C207*D207*J207)</f>
        <v/>
      </c>
      <c r="L207" s="19">
        <f>IF(G207=0,0,K207/G207)</f>
        <v/>
      </c>
      <c r="M207" s="19">
        <f>IF(L207=0,0,L207/MonthsYear)</f>
        <v/>
      </c>
    </row>
    <row r="208" ht="18" customHeight="1">
      <c r="A208" s="8" t="inlineStr">
        <is>
          <t>home_comfort</t>
        </is>
      </c>
      <c r="B208" s="7" t="inlineStr">
        <is>
          <t>Полотенце</t>
        </is>
      </c>
      <c r="C208" s="13" t="n">
        <v>2</v>
      </c>
      <c r="D208" s="16" t="n">
        <v>399</v>
      </c>
      <c r="E208" s="13" t="n">
        <v>2</v>
      </c>
      <c r="F208" s="13" t="inlineStr"/>
      <c r="G208" s="18">
        <f>FamilySize</f>
        <v/>
      </c>
      <c r="H208" s="17" t="inlineStr">
        <is>
          <t>https://leroymerlin.ru/search/?q=%D0%BF%D0%BE%D0%BB%D0%BE%D1%82%D0%B5%D0%BD%D1%86%D0%B5</t>
        </is>
      </c>
      <c r="I208" s="8" t="inlineStr">
        <is>
          <t>amort</t>
        </is>
      </c>
      <c r="J208" s="18">
        <f>IF(F208="год",1,IF(F208="месяц",MonthsYear,IF(F208="неделя",WeeksYear,0)))</f>
        <v/>
      </c>
      <c r="K208" s="19">
        <f>IF(N(E208)&gt;0,C208*D208/E208,C208*D208*J208)</f>
        <v/>
      </c>
      <c r="L208" s="19">
        <f>IF(G208=0,0,K208/G208)</f>
        <v/>
      </c>
      <c r="M208" s="19">
        <f>IF(L208=0,0,L208/MonthsYear)</f>
        <v/>
      </c>
    </row>
    <row r="209" ht="18" customHeight="1">
      <c r="A209" s="8" t="inlineStr">
        <is>
          <t>home_comfort</t>
        </is>
      </c>
      <c r="B209" s="7" t="inlineStr">
        <is>
          <t>Пылесос</t>
        </is>
      </c>
      <c r="C209" s="13" t="n">
        <v>1</v>
      </c>
      <c r="D209" s="16" t="n">
        <v>9999</v>
      </c>
      <c r="E209" s="13" t="n">
        <v>7</v>
      </c>
      <c r="F209" s="13" t="inlineStr"/>
      <c r="G209" s="18">
        <f>FamilySize</f>
        <v/>
      </c>
      <c r="H209" s="17" t="inlineStr">
        <is>
          <t>https://www.dns-shop.ru/search/?q=%D0%BF%D1%8B%D0%BB%D0%B5%D1%81%D0%BE%D1%81</t>
        </is>
      </c>
      <c r="I209" s="8" t="inlineStr">
        <is>
          <t>amort</t>
        </is>
      </c>
      <c r="J209" s="18">
        <f>IF(F209="год",1,IF(F209="месяц",MonthsYear,IF(F209="неделя",WeeksYear,0)))</f>
        <v/>
      </c>
      <c r="K209" s="19">
        <f>IF(N(E209)&gt;0,C209*D209/E209,C209*D209*J209)</f>
        <v/>
      </c>
      <c r="L209" s="19">
        <f>IF(G209=0,0,K209/G209)</f>
        <v/>
      </c>
      <c r="M209" s="19">
        <f>IF(L209=0,0,L209/MonthsYear)</f>
        <v/>
      </c>
    </row>
    <row r="210" ht="18" customHeight="1">
      <c r="A210" s="8" t="inlineStr">
        <is>
          <t>home_comfort</t>
        </is>
      </c>
      <c r="B210" s="7" t="inlineStr">
        <is>
          <t>Совок и метла</t>
        </is>
      </c>
      <c r="C210" s="13" t="n">
        <v>1</v>
      </c>
      <c r="D210" s="16" t="n">
        <v>699</v>
      </c>
      <c r="E210" s="13" t="n">
        <v>3</v>
      </c>
      <c r="F210" s="13" t="inlineStr"/>
      <c r="G210" s="18">
        <f>FamilySize</f>
        <v/>
      </c>
      <c r="H210" s="17" t="inlineStr">
        <is>
          <t>https://leroymerlin.ru/search/?q=%D1%81%D0%BE%D0%B2%D0%BE%D0%BA%20%D0%BC%D0%B5%D1%82%D0%BB%D0%B0</t>
        </is>
      </c>
      <c r="I210" s="8" t="inlineStr">
        <is>
          <t>amort</t>
        </is>
      </c>
      <c r="J210" s="18">
        <f>IF(F210="год",1,IF(F210="месяц",MonthsYear,IF(F210="неделя",WeeksYear,0)))</f>
        <v/>
      </c>
      <c r="K210" s="19">
        <f>IF(N(E210)&gt;0,C210*D210/E210,C210*D210*J210)</f>
        <v/>
      </c>
      <c r="L210" s="19">
        <f>IF(G210=0,0,K210/G210)</f>
        <v/>
      </c>
      <c r="M210" s="19">
        <f>IF(L210=0,0,L210/MonthsYear)</f>
        <v/>
      </c>
    </row>
    <row r="211" ht="18" customHeight="1">
      <c r="A211" s="8" t="inlineStr">
        <is>
          <t>home_comfort</t>
        </is>
      </c>
      <c r="B211" s="7" t="inlineStr">
        <is>
          <t>Стол журнальный</t>
        </is>
      </c>
      <c r="C211" s="13" t="n">
        <v>1</v>
      </c>
      <c r="D211" s="16" t="n">
        <v>4999</v>
      </c>
      <c r="E211" s="13" t="n">
        <v>10</v>
      </c>
      <c r="F211" s="13" t="inlineStr"/>
      <c r="G211" s="18">
        <f>FamilySize</f>
        <v/>
      </c>
      <c r="H211" s="17" t="inlineStr">
        <is>
          <t>https://leroymerlin.ru/search/?q=%D1%81%D1%82%D0%BE%D0%BB%20%D0%B6%D1%83%D1%80%D0%BD%D0%B0%D0%BB%D1%8C%D0%BD%D1%8B%D0%B9</t>
        </is>
      </c>
      <c r="I211" s="8" t="inlineStr">
        <is>
          <t>amort</t>
        </is>
      </c>
      <c r="J211" s="18">
        <f>IF(F211="год",1,IF(F211="месяц",MonthsYear,IF(F211="неделя",WeeksYear,0)))</f>
        <v/>
      </c>
      <c r="K211" s="19">
        <f>IF(N(E211)&gt;0,C211*D211/E211,C211*D211*J211)</f>
        <v/>
      </c>
      <c r="L211" s="19">
        <f>IF(G211=0,0,K211/G211)</f>
        <v/>
      </c>
      <c r="M211" s="19">
        <f>IF(L211=0,0,L211/MonthsYear)</f>
        <v/>
      </c>
    </row>
    <row r="212" ht="18" customHeight="1">
      <c r="A212" s="8" t="inlineStr">
        <is>
          <t>home_comfort</t>
        </is>
      </c>
      <c r="B212" s="7" t="inlineStr">
        <is>
          <t>Тумба под телевизор</t>
        </is>
      </c>
      <c r="C212" s="13" t="n">
        <v>1</v>
      </c>
      <c r="D212" s="16" t="n">
        <v>7990</v>
      </c>
      <c r="E212" s="13" t="n">
        <v>10</v>
      </c>
      <c r="F212" s="13" t="inlineStr"/>
      <c r="G212" s="18">
        <f>FamilySize</f>
        <v/>
      </c>
      <c r="H212" s="17" t="inlineStr">
        <is>
          <t>https://leroymerlin.ru/search/?q=%D1%82%D1%83%D0%BC%D0%B1%D0%B0%20%D0%BF%D0%BE%D0%B4%20%D1%82%D0%B5%D0%BB%D0%B5%D0%B2%D0%B8%D0%B7%D0%BE%D1%80</t>
        </is>
      </c>
      <c r="I212" s="8" t="inlineStr">
        <is>
          <t>amort</t>
        </is>
      </c>
      <c r="J212" s="18">
        <f>IF(F212="год",1,IF(F212="месяц",MonthsYear,IF(F212="неделя",WeeksYear,0)))</f>
        <v/>
      </c>
      <c r="K212" s="19">
        <f>IF(N(E212)&gt;0,C212*D212/E212,C212*D212*J212)</f>
        <v/>
      </c>
      <c r="L212" s="19">
        <f>IF(G212=0,0,K212/G212)</f>
        <v/>
      </c>
      <c r="M212" s="19">
        <f>IF(L212=0,0,L212/MonthsYear)</f>
        <v/>
      </c>
    </row>
    <row r="213" ht="18" customHeight="1">
      <c r="A213" s="8" t="inlineStr">
        <is>
          <t>home_comfort</t>
        </is>
      </c>
      <c r="B213" s="7" t="inlineStr">
        <is>
          <t>Утюг</t>
        </is>
      </c>
      <c r="C213" s="13" t="n">
        <v>1</v>
      </c>
      <c r="D213" s="16" t="n">
        <v>2499</v>
      </c>
      <c r="E213" s="13" t="n">
        <v>5</v>
      </c>
      <c r="F213" s="13" t="inlineStr"/>
      <c r="G213" s="18">
        <f>FamilySize</f>
        <v/>
      </c>
      <c r="H213" s="17" t="inlineStr">
        <is>
          <t>https://www.dns-shop.ru/search/?q=%D1%83%D1%82%D1%8E%D0%B3</t>
        </is>
      </c>
      <c r="I213" s="8" t="inlineStr">
        <is>
          <t>amort</t>
        </is>
      </c>
      <c r="J213" s="18">
        <f>IF(F213="год",1,IF(F213="месяц",MonthsYear,IF(F213="неделя",WeeksYear,0)))</f>
        <v/>
      </c>
      <c r="K213" s="19">
        <f>IF(N(E213)&gt;0,C213*D213/E213,C213*D213*J213)</f>
        <v/>
      </c>
      <c r="L213" s="19">
        <f>IF(G213=0,0,K213/G213)</f>
        <v/>
      </c>
      <c r="M213" s="19">
        <f>IF(L213=0,0,L213/MonthsYear)</f>
        <v/>
      </c>
    </row>
    <row r="214" ht="18" customHeight="1">
      <c r="A214" s="8" t="inlineStr">
        <is>
          <t>home_comfort</t>
        </is>
      </c>
      <c r="B214" s="7" t="inlineStr">
        <is>
          <t>Шкаф бельевой угловой</t>
        </is>
      </c>
      <c r="C214" s="13" t="n">
        <v>1</v>
      </c>
      <c r="D214" s="16" t="n">
        <v>19990</v>
      </c>
      <c r="E214" s="13" t="n">
        <v>10</v>
      </c>
      <c r="F214" s="13" t="inlineStr"/>
      <c r="G214" s="18">
        <f>FamilySize</f>
        <v/>
      </c>
      <c r="H214" s="17" t="inlineStr">
        <is>
          <t>https://leroymerlin.ru/search/?q=%D1%88%D0%BA%D0%B0%D1%84%20%D1%83%D0%B3%D0%BB%D0%BE%D0%B2%D0%BE%D0%B9</t>
        </is>
      </c>
      <c r="I214" s="8" t="inlineStr">
        <is>
          <t>amort</t>
        </is>
      </c>
      <c r="J214" s="18">
        <f>IF(F214="год",1,IF(F214="месяц",MonthsYear,IF(F214="неделя",WeeksYear,0)))</f>
        <v/>
      </c>
      <c r="K214" s="19">
        <f>IF(N(E214)&gt;0,C214*D214/E214,C214*D214*J214)</f>
        <v/>
      </c>
      <c r="L214" s="19">
        <f>IF(G214=0,0,K214/G214)</f>
        <v/>
      </c>
      <c r="M214" s="19">
        <f>IF(L214=0,0,L214/MonthsYear)</f>
        <v/>
      </c>
    </row>
    <row r="215" ht="18" customHeight="1">
      <c r="A215" s="8" t="inlineStr">
        <is>
          <t>holidays_buy</t>
        </is>
      </c>
      <c r="B215" s="7" t="inlineStr">
        <is>
          <t>Ёлка искусственная</t>
        </is>
      </c>
      <c r="C215" s="13" t="n">
        <v>1</v>
      </c>
      <c r="D215" s="16" t="n">
        <v>25000</v>
      </c>
      <c r="E215" s="13" t="n">
        <v>10</v>
      </c>
      <c r="F215" s="13" t="inlineStr"/>
      <c r="G215" s="18">
        <f>FamilySize</f>
        <v/>
      </c>
      <c r="H215" s="17" t="inlineStr">
        <is>
          <t>https://leroymerlin.ru/search/?q=%D0%B5%D0%BB%D0%BA%D0%B0%20%D0%B8%D1%81%D0%BA%D1%83%D1%81%D1%81%D1%82%D0%B2%D0%B5%D0%BD%D0%BD%D0%B0%D1%8F</t>
        </is>
      </c>
      <c r="I215" s="8" t="inlineStr">
        <is>
          <t>amort</t>
        </is>
      </c>
      <c r="J215" s="18">
        <f>IF(F215="год",1,IF(F215="месяц",MonthsYear,IF(F215="неделя",WeeksYear,0)))</f>
        <v/>
      </c>
      <c r="K215" s="19">
        <f>IF(N(E215)&gt;0,C215*D215/E215,C215*D215*J215)</f>
        <v/>
      </c>
      <c r="L215" s="19">
        <f>IF(G215=0,0,K215/G215)</f>
        <v/>
      </c>
      <c r="M215" s="19">
        <f>IF(L215=0,0,L215/MonthsYear)</f>
        <v/>
      </c>
    </row>
    <row r="216" ht="18" customHeight="1">
      <c r="A216" s="8" t="inlineStr">
        <is>
          <t>holidays_buy</t>
        </is>
      </c>
      <c r="B216" s="7" t="inlineStr">
        <is>
          <t>Украшения на ёлку</t>
        </is>
      </c>
      <c r="C216" s="13" t="n">
        <v>1</v>
      </c>
      <c r="D216" s="16" t="n">
        <v>15000</v>
      </c>
      <c r="E216" s="13" t="n">
        <v>10</v>
      </c>
      <c r="F216" s="13" t="inlineStr"/>
      <c r="G216" s="18">
        <f>FamilySize</f>
        <v/>
      </c>
      <c r="H216" s="17" t="inlineStr">
        <is>
          <t>https://leroymerlin.ru/search/?q=%D1%83%D0%BA%D1%80%D0%B0%D1%88%D0%B5%D0%BD%D0%B8%D1%8F%20%D0%BD%D0%B0%20%D0%B5%D0%BB%D0%BA%D1%83</t>
        </is>
      </c>
      <c r="I216" s="8" t="inlineStr">
        <is>
          <t>amort</t>
        </is>
      </c>
      <c r="J216" s="18">
        <f>IF(F216="год",1,IF(F216="месяц",MonthsYear,IF(F216="неделя",WeeksYear,0)))</f>
        <v/>
      </c>
      <c r="K216" s="19">
        <f>IF(N(E216)&gt;0,C216*D216/E216,C216*D216*J216)</f>
        <v/>
      </c>
      <c r="L216" s="19">
        <f>IF(G216=0,0,K216/G216)</f>
        <v/>
      </c>
      <c r="M216" s="19">
        <f>IF(L216=0,0,L216/MonthsYear)</f>
        <v/>
      </c>
    </row>
    <row r="217" ht="18" customHeight="1">
      <c r="A217" s="8" t="inlineStr">
        <is>
          <t>home_pay</t>
        </is>
      </c>
      <c r="B217" s="7" t="inlineStr">
        <is>
          <t>Аренда</t>
        </is>
      </c>
      <c r="C217" s="13" t="n">
        <v>1</v>
      </c>
      <c r="D217" s="16" t="n">
        <v>15000</v>
      </c>
      <c r="E217" s="13" t="n"/>
      <c r="F217" s="13" t="inlineStr">
        <is>
          <t>месяц</t>
        </is>
      </c>
      <c r="G217" s="18">
        <f>FamilySize</f>
        <v/>
      </c>
      <c r="H217" s="7" t="inlineStr"/>
      <c r="I217" s="8" t="inlineStr">
        <is>
          <t>pay</t>
        </is>
      </c>
      <c r="J217" s="18">
        <f>IF(F217="год",1,IF(F217="месяц",MonthsYear,IF(F217="неделя",WeeksYear,0)))</f>
        <v/>
      </c>
      <c r="K217" s="19">
        <f>IF(N(E217)&gt;0,C217*D217/E217,C217*D217*J217)</f>
        <v/>
      </c>
      <c r="L217" s="19">
        <f>IF(G217=0,0,K217/G217)</f>
        <v/>
      </c>
      <c r="M217" s="19">
        <f>IF(L217=0,0,L217/MonthsYear)</f>
        <v/>
      </c>
    </row>
    <row r="218" ht="18" customHeight="1">
      <c r="A218" s="8" t="inlineStr">
        <is>
          <t>home_pay</t>
        </is>
      </c>
      <c r="B218" s="7" t="inlineStr">
        <is>
          <t>Вода</t>
        </is>
      </c>
      <c r="C218" s="13" t="n">
        <v>1</v>
      </c>
      <c r="D218" s="16" t="n">
        <v>1100</v>
      </c>
      <c r="E218" s="13" t="n"/>
      <c r="F218" s="13" t="inlineStr">
        <is>
          <t>месяц</t>
        </is>
      </c>
      <c r="G218" s="18">
        <f>FamilySize</f>
        <v/>
      </c>
      <c r="H218" s="7" t="inlineStr"/>
      <c r="I218" s="8" t="inlineStr">
        <is>
          <t>pay</t>
        </is>
      </c>
      <c r="J218" s="18">
        <f>IF(F218="год",1,IF(F218="месяц",MonthsYear,IF(F218="неделя",WeeksYear,0)))</f>
        <v/>
      </c>
      <c r="K218" s="19">
        <f>IF(N(E218)&gt;0,C218*D218/E218,C218*D218*J218)</f>
        <v/>
      </c>
      <c r="L218" s="19">
        <f>IF(G218=0,0,K218/G218)</f>
        <v/>
      </c>
      <c r="M218" s="19">
        <f>IF(L218=0,0,L218/MonthsYear)</f>
        <v/>
      </c>
    </row>
    <row r="219" ht="18" customHeight="1">
      <c r="A219" s="8" t="inlineStr">
        <is>
          <t>home_pay</t>
        </is>
      </c>
      <c r="B219" s="7" t="inlineStr">
        <is>
          <t>Коммунальные платежи</t>
        </is>
      </c>
      <c r="C219" s="13" t="n">
        <v>1</v>
      </c>
      <c r="D219" s="16" t="n">
        <v>5400</v>
      </c>
      <c r="E219" s="13" t="n"/>
      <c r="F219" s="13" t="inlineStr">
        <is>
          <t>месяц</t>
        </is>
      </c>
      <c r="G219" s="18">
        <f>FamilySize</f>
        <v/>
      </c>
      <c r="H219" s="7" t="inlineStr"/>
      <c r="I219" s="8" t="inlineStr">
        <is>
          <t>pay</t>
        </is>
      </c>
      <c r="J219" s="18">
        <f>IF(F219="год",1,IF(F219="месяц",MonthsYear,IF(F219="неделя",WeeksYear,0)))</f>
        <v/>
      </c>
      <c r="K219" s="19">
        <f>IF(N(E219)&gt;0,C219*D219/E219,C219*D219*J219)</f>
        <v/>
      </c>
      <c r="L219" s="19">
        <f>IF(G219=0,0,K219/G219)</f>
        <v/>
      </c>
      <c r="M219" s="19">
        <f>IF(L219=0,0,L219/MonthsYear)</f>
        <v/>
      </c>
    </row>
    <row r="220" ht="18" customHeight="1">
      <c r="A220" s="8" t="inlineStr">
        <is>
          <t>home_pay</t>
        </is>
      </c>
      <c r="B220" s="7" t="inlineStr">
        <is>
          <t>Интернет</t>
        </is>
      </c>
      <c r="C220" s="13" t="n">
        <v>1</v>
      </c>
      <c r="D220" s="16" t="n">
        <v>600</v>
      </c>
      <c r="E220" s="13" t="n"/>
      <c r="F220" s="13" t="inlineStr">
        <is>
          <t>месяц</t>
        </is>
      </c>
      <c r="G220" s="18">
        <f>FamilySize</f>
        <v/>
      </c>
      <c r="H220" s="7" t="inlineStr"/>
      <c r="I220" s="8" t="inlineStr">
        <is>
          <t>pay</t>
        </is>
      </c>
      <c r="J220" s="18">
        <f>IF(F220="год",1,IF(F220="месяц",MonthsYear,IF(F220="неделя",WeeksYear,0)))</f>
        <v/>
      </c>
      <c r="K220" s="19">
        <f>IF(N(E220)&gt;0,C220*D220/E220,C220*D220*J220)</f>
        <v/>
      </c>
      <c r="L220" s="19">
        <f>IF(G220=0,0,K220/G220)</f>
        <v/>
      </c>
      <c r="M220" s="19">
        <f>IF(L220=0,0,L220/MonthsYear)</f>
        <v/>
      </c>
    </row>
    <row r="221" ht="18" customHeight="1">
      <c r="A221" s="8" t="inlineStr">
        <is>
          <t>leisure_shared</t>
        </is>
      </c>
      <c r="B221" s="7" t="inlineStr">
        <is>
          <t>Поездки в другие города</t>
        </is>
      </c>
      <c r="C221" s="13" t="n">
        <v>3</v>
      </c>
      <c r="D221" s="16" t="n">
        <v>20000</v>
      </c>
      <c r="E221" s="13" t="n"/>
      <c r="F221" s="13" t="inlineStr">
        <is>
          <t>год</t>
        </is>
      </c>
      <c r="G221" s="18">
        <f>FamilySize</f>
        <v/>
      </c>
      <c r="H221" s="7" t="inlineStr"/>
      <c r="I221" s="8" t="inlineStr">
        <is>
          <t>pay</t>
        </is>
      </c>
      <c r="J221" s="18">
        <f>IF(F221="год",1,IF(F221="месяц",MonthsYear,IF(F221="неделя",WeeksYear,0)))</f>
        <v/>
      </c>
      <c r="K221" s="19">
        <f>IF(N(E221)&gt;0,C221*D221/E221,C221*D221*J221)</f>
        <v/>
      </c>
      <c r="L221" s="19">
        <f>IF(G221=0,0,K221/G221)</f>
        <v/>
      </c>
      <c r="M221" s="19">
        <f>IF(L221=0,0,L221/MonthsYear)</f>
        <v/>
      </c>
    </row>
    <row r="222" ht="18" customHeight="1">
      <c r="A222" s="8" t="inlineStr">
        <is>
          <t>leisure_shared</t>
        </is>
      </c>
      <c r="B222" s="7" t="inlineStr">
        <is>
          <t>Поездки на озеро летом</t>
        </is>
      </c>
      <c r="C222" s="13" t="n">
        <v>10</v>
      </c>
      <c r="D222" s="16" t="n">
        <v>5000</v>
      </c>
      <c r="E222" s="13" t="n"/>
      <c r="F222" s="13" t="inlineStr">
        <is>
          <t>год</t>
        </is>
      </c>
      <c r="G222" s="18">
        <f>FamilySize</f>
        <v/>
      </c>
      <c r="H222" s="7" t="inlineStr"/>
      <c r="I222" s="8" t="inlineStr">
        <is>
          <t>pay</t>
        </is>
      </c>
      <c r="J222" s="18">
        <f>IF(F222="год",1,IF(F222="месяц",MonthsYear,IF(F222="неделя",WeeksYear,0)))</f>
        <v/>
      </c>
      <c r="K222" s="19">
        <f>IF(N(E222)&gt;0,C222*D222/E222,C222*D222*J222)</f>
        <v/>
      </c>
      <c r="L222" s="19">
        <f>IF(G222=0,0,K222/G222)</f>
        <v/>
      </c>
      <c r="M222" s="19">
        <f>IF(L222=0,0,L222/MonthsYear)</f>
        <v/>
      </c>
    </row>
    <row r="223" ht="18" customHeight="1">
      <c r="A223" s="8" t="inlineStr">
        <is>
          <t>transport_pay</t>
        </is>
      </c>
      <c r="B223" s="7" t="inlineStr">
        <is>
          <t>Автомобиль</t>
        </is>
      </c>
      <c r="C223" s="13" t="n">
        <v>1</v>
      </c>
      <c r="D223" s="16" t="n">
        <v>550000</v>
      </c>
      <c r="E223" s="13" t="n">
        <v>10</v>
      </c>
      <c r="F223" s="13" t="inlineStr"/>
      <c r="G223" s="18">
        <f>FamilySize</f>
        <v/>
      </c>
      <c r="H223" s="7" t="inlineStr"/>
      <c r="I223" s="8" t="inlineStr">
        <is>
          <t>pay</t>
        </is>
      </c>
      <c r="J223" s="18">
        <f>IF(F223="год",1,IF(F223="месяц",MonthsYear,IF(F223="неделя",WeeksYear,0)))</f>
        <v/>
      </c>
      <c r="K223" s="19">
        <f>IF(N(E223)&gt;0,C223*D223/E223,C223*D223*J223)</f>
        <v/>
      </c>
      <c r="L223" s="19">
        <f>IF(G223=0,0,K223/G223)</f>
        <v/>
      </c>
      <c r="M223" s="19">
        <f>IF(L223=0,0,L223/MonthsYear)</f>
        <v/>
      </c>
    </row>
    <row r="224" ht="18" customHeight="1">
      <c r="A224" s="8" t="inlineStr">
        <is>
          <t>transport_pay</t>
        </is>
      </c>
      <c r="B224" s="7" t="inlineStr">
        <is>
          <t>Бензин</t>
        </is>
      </c>
      <c r="C224" s="13" t="n">
        <v>1</v>
      </c>
      <c r="D224" s="16" t="n">
        <v>9360</v>
      </c>
      <c r="E224" s="13" t="n"/>
      <c r="F224" s="13" t="inlineStr">
        <is>
          <t>месяц</t>
        </is>
      </c>
      <c r="G224" s="18">
        <f>FamilySize</f>
        <v/>
      </c>
      <c r="H224" s="7" t="inlineStr"/>
      <c r="I224" s="8" t="inlineStr">
        <is>
          <t>pay</t>
        </is>
      </c>
      <c r="J224" s="18">
        <f>IF(F224="год",1,IF(F224="месяц",MonthsYear,IF(F224="неделя",WeeksYear,0)))</f>
        <v/>
      </c>
      <c r="K224" s="19">
        <f>IF(N(E224)&gt;0,C224*D224/E224,C224*D224*J224)</f>
        <v/>
      </c>
      <c r="L224" s="19">
        <f>IF(G224=0,0,K224/G224)</f>
        <v/>
      </c>
      <c r="M224" s="19">
        <f>IF(L224=0,0,L224/MonthsYear)</f>
        <v/>
      </c>
    </row>
    <row r="225" ht="18" customHeight="1">
      <c r="A225" s="8" t="inlineStr">
        <is>
          <t>transport_pay</t>
        </is>
      </c>
      <c r="B225" s="7" t="inlineStr">
        <is>
          <t>Колёса зимние, комплект</t>
        </is>
      </c>
      <c r="C225" s="13" t="n">
        <v>1</v>
      </c>
      <c r="D225" s="16" t="n">
        <v>50000</v>
      </c>
      <c r="E225" s="13" t="n">
        <v>2</v>
      </c>
      <c r="F225" s="13" t="inlineStr"/>
      <c r="G225" s="18">
        <f>FamilySize</f>
        <v/>
      </c>
      <c r="H225" s="7" t="inlineStr"/>
      <c r="I225" s="8" t="inlineStr">
        <is>
          <t>pay</t>
        </is>
      </c>
      <c r="J225" s="18">
        <f>IF(F225="год",1,IF(F225="месяц",MonthsYear,IF(F225="неделя",WeeksYear,0)))</f>
        <v/>
      </c>
      <c r="K225" s="19">
        <f>IF(N(E225)&gt;0,C225*D225/E225,C225*D225*J225)</f>
        <v/>
      </c>
      <c r="L225" s="19">
        <f>IF(G225=0,0,K225/G225)</f>
        <v/>
      </c>
      <c r="M225" s="19">
        <f>IF(L225=0,0,L225/MonthsYear)</f>
        <v/>
      </c>
    </row>
    <row r="226" ht="18" customHeight="1">
      <c r="A226" s="8" t="inlineStr">
        <is>
          <t>transport_pay</t>
        </is>
      </c>
      <c r="B226" s="7" t="inlineStr">
        <is>
          <t>Колёса летние, комплект</t>
        </is>
      </c>
      <c r="C226" s="13" t="n">
        <v>1</v>
      </c>
      <c r="D226" s="16" t="n">
        <v>50000</v>
      </c>
      <c r="E226" s="13" t="n">
        <v>2</v>
      </c>
      <c r="F226" s="13" t="inlineStr"/>
      <c r="G226" s="18">
        <f>FamilySize</f>
        <v/>
      </c>
      <c r="H226" s="7" t="inlineStr"/>
      <c r="I226" s="8" t="inlineStr">
        <is>
          <t>pay</t>
        </is>
      </c>
      <c r="J226" s="18">
        <f>IF(F226="год",1,IF(F226="месяц",MonthsYear,IF(F226="неделя",WeeksYear,0)))</f>
        <v/>
      </c>
      <c r="K226" s="19">
        <f>IF(N(E226)&gt;0,C226*D226/E226,C226*D226*J226)</f>
        <v/>
      </c>
      <c r="L226" s="19">
        <f>IF(G226=0,0,K226/G226)</f>
        <v/>
      </c>
      <c r="M226" s="19">
        <f>IF(L226=0,0,L226/MonthsYear)</f>
        <v/>
      </c>
    </row>
    <row r="227" ht="18" customHeight="1">
      <c r="A227" s="8" t="inlineStr">
        <is>
          <t>transport_pay</t>
        </is>
      </c>
      <c r="B227" s="7" t="inlineStr">
        <is>
          <t>Масло моторное</t>
        </is>
      </c>
      <c r="C227" s="13" t="n">
        <v>1</v>
      </c>
      <c r="D227" s="16" t="n">
        <v>12800</v>
      </c>
      <c r="E227" s="13" t="n"/>
      <c r="F227" s="13" t="inlineStr">
        <is>
          <t>год</t>
        </is>
      </c>
      <c r="G227" s="18">
        <f>FamilySize</f>
        <v/>
      </c>
      <c r="H227" s="7" t="inlineStr"/>
      <c r="I227" s="8" t="inlineStr">
        <is>
          <t>pay</t>
        </is>
      </c>
      <c r="J227" s="18">
        <f>IF(F227="год",1,IF(F227="месяц",MonthsYear,IF(F227="неделя",WeeksYear,0)))</f>
        <v/>
      </c>
      <c r="K227" s="19">
        <f>IF(N(E227)&gt;0,C227*D227/E227,C227*D227*J227)</f>
        <v/>
      </c>
      <c r="L227" s="19">
        <f>IF(G227=0,0,K227/G227)</f>
        <v/>
      </c>
      <c r="M227" s="19">
        <f>IF(L227=0,0,L227/MonthsYear)</f>
        <v/>
      </c>
    </row>
    <row r="228" ht="18" customHeight="1">
      <c r="A228" s="8" t="inlineStr">
        <is>
          <t>transport_pay</t>
        </is>
      </c>
      <c r="B228" s="7" t="inlineStr">
        <is>
          <t>Незамерзайка</t>
        </is>
      </c>
      <c r="C228" s="13" t="n">
        <v>1</v>
      </c>
      <c r="D228" s="16" t="n">
        <v>250</v>
      </c>
      <c r="E228" s="13" t="n"/>
      <c r="F228" s="13" t="inlineStr">
        <is>
          <t>месяц</t>
        </is>
      </c>
      <c r="G228" s="18">
        <f>FamilySize</f>
        <v/>
      </c>
      <c r="H228" s="7" t="inlineStr"/>
      <c r="I228" s="8" t="inlineStr">
        <is>
          <t>pay</t>
        </is>
      </c>
      <c r="J228" s="18">
        <f>IF(F228="год",1,IF(F228="месяц",MonthsYear,IF(F228="неделя",WeeksYear,0)))</f>
        <v/>
      </c>
      <c r="K228" s="19">
        <f>IF(N(E228)&gt;0,C228*D228/E228,C228*D228*J228)</f>
        <v/>
      </c>
      <c r="L228" s="19">
        <f>IF(G228=0,0,K228/G228)</f>
        <v/>
      </c>
      <c r="M228" s="19">
        <f>IF(L228=0,0,L228/MonthsYear)</f>
        <v/>
      </c>
    </row>
    <row r="229" ht="18" customHeight="1">
      <c r="A229" s="8" t="inlineStr">
        <is>
          <t>transport_pay</t>
        </is>
      </c>
      <c r="B229" s="7" t="inlineStr">
        <is>
          <t>Прочий ремонт машины</t>
        </is>
      </c>
      <c r="C229" s="13" t="n">
        <v>1</v>
      </c>
      <c r="D229" s="16" t="n">
        <v>50000</v>
      </c>
      <c r="E229" s="13" t="n">
        <v>2</v>
      </c>
      <c r="F229" s="13" t="inlineStr"/>
      <c r="G229" s="18">
        <f>FamilySize</f>
        <v/>
      </c>
      <c r="H229" s="7" t="inlineStr"/>
      <c r="I229" s="8" t="inlineStr">
        <is>
          <t>pay</t>
        </is>
      </c>
      <c r="J229" s="18">
        <f>IF(F229="год",1,IF(F229="месяц",MonthsYear,IF(F229="неделя",WeeksYear,0)))</f>
        <v/>
      </c>
      <c r="K229" s="19">
        <f>IF(N(E229)&gt;0,C229*D229/E229,C229*D229*J229)</f>
        <v/>
      </c>
      <c r="L229" s="19">
        <f>IF(G229=0,0,K229/G229)</f>
        <v/>
      </c>
      <c r="M229" s="19">
        <f>IF(L229=0,0,L229/MonthsYear)</f>
        <v/>
      </c>
    </row>
    <row r="230" ht="18" customHeight="1">
      <c r="A230" s="8" t="inlineStr">
        <is>
          <t>transport_pay</t>
        </is>
      </c>
      <c r="B230" s="7" t="inlineStr">
        <is>
          <t>Ремонт ходовой</t>
        </is>
      </c>
      <c r="C230" s="13" t="n">
        <v>1</v>
      </c>
      <c r="D230" s="16" t="n">
        <v>50000</v>
      </c>
      <c r="E230" s="13" t="n">
        <v>2</v>
      </c>
      <c r="F230" s="13" t="inlineStr"/>
      <c r="G230" s="18">
        <f>FamilySize</f>
        <v/>
      </c>
      <c r="H230" s="7" t="inlineStr"/>
      <c r="I230" s="8" t="inlineStr">
        <is>
          <t>pay</t>
        </is>
      </c>
      <c r="J230" s="18">
        <f>IF(F230="год",1,IF(F230="месяц",MonthsYear,IF(F230="неделя",WeeksYear,0)))</f>
        <v/>
      </c>
      <c r="K230" s="19">
        <f>IF(N(E230)&gt;0,C230*D230/E230,C230*D230*J230)</f>
        <v/>
      </c>
      <c r="L230" s="19">
        <f>IF(G230=0,0,K230/G230)</f>
        <v/>
      </c>
      <c r="M230" s="19">
        <f>IF(L230=0,0,L230/MonthsYear)</f>
        <v/>
      </c>
    </row>
  </sheetData>
  <autoFilter ref="A4:M230"/>
  <mergeCells count="2">
    <mergeCell ref="A2:M2"/>
    <mergeCell ref="A1:M1"/>
  </mergeCells>
  <dataValidations count="1">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showDropDown="0" showInputMessage="0" showErrorMessage="0" allowBlank="1" type="list">
      <formula1>"неделя,месяц,год"</formula1>
    </dataValidation>
  </dataValidation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 xmlns:r="http://schemas.openxmlformats.org/officeDocument/2006/relationships" ref="H45" r:id="rId41"/>
    <hyperlink xmlns:r="http://schemas.openxmlformats.org/officeDocument/2006/relationships" ref="H46" r:id="rId42"/>
    <hyperlink xmlns:r="http://schemas.openxmlformats.org/officeDocument/2006/relationships" ref="H47" r:id="rId43"/>
    <hyperlink xmlns:r="http://schemas.openxmlformats.org/officeDocument/2006/relationships" ref="H48" r:id="rId44"/>
    <hyperlink xmlns:r="http://schemas.openxmlformats.org/officeDocument/2006/relationships" ref="H49" r:id="rId45"/>
    <hyperlink xmlns:r="http://schemas.openxmlformats.org/officeDocument/2006/relationships" ref="H50" r:id="rId46"/>
    <hyperlink xmlns:r="http://schemas.openxmlformats.org/officeDocument/2006/relationships" ref="H51" r:id="rId47"/>
    <hyperlink xmlns:r="http://schemas.openxmlformats.org/officeDocument/2006/relationships" ref="H52" r:id="rId48"/>
    <hyperlink xmlns:r="http://schemas.openxmlformats.org/officeDocument/2006/relationships" ref="H53" r:id="rId49"/>
    <hyperlink xmlns:r="http://schemas.openxmlformats.org/officeDocument/2006/relationships" ref="H54" r:id="rId50"/>
    <hyperlink xmlns:r="http://schemas.openxmlformats.org/officeDocument/2006/relationships" ref="H55" r:id="rId51"/>
    <hyperlink xmlns:r="http://schemas.openxmlformats.org/officeDocument/2006/relationships" ref="H56" r:id="rId52"/>
    <hyperlink xmlns:r="http://schemas.openxmlformats.org/officeDocument/2006/relationships" ref="H57" r:id="rId53"/>
    <hyperlink xmlns:r="http://schemas.openxmlformats.org/officeDocument/2006/relationships" ref="H58" r:id="rId54"/>
    <hyperlink xmlns:r="http://schemas.openxmlformats.org/officeDocument/2006/relationships" ref="H59" r:id="rId55"/>
    <hyperlink xmlns:r="http://schemas.openxmlformats.org/officeDocument/2006/relationships" ref="H60" r:id="rId56"/>
    <hyperlink xmlns:r="http://schemas.openxmlformats.org/officeDocument/2006/relationships" ref="H61" r:id="rId57"/>
    <hyperlink xmlns:r="http://schemas.openxmlformats.org/officeDocument/2006/relationships" ref="H62" r:id="rId58"/>
    <hyperlink xmlns:r="http://schemas.openxmlformats.org/officeDocument/2006/relationships" ref="H63" r:id="rId59"/>
    <hyperlink xmlns:r="http://schemas.openxmlformats.org/officeDocument/2006/relationships" ref="H64" r:id="rId60"/>
    <hyperlink xmlns:r="http://schemas.openxmlformats.org/officeDocument/2006/relationships" ref="H65" r:id="rId61"/>
    <hyperlink xmlns:r="http://schemas.openxmlformats.org/officeDocument/2006/relationships" ref="H66" r:id="rId62"/>
    <hyperlink xmlns:r="http://schemas.openxmlformats.org/officeDocument/2006/relationships" ref="H67" r:id="rId63"/>
    <hyperlink xmlns:r="http://schemas.openxmlformats.org/officeDocument/2006/relationships" ref="H68" r:id="rId64"/>
    <hyperlink xmlns:r="http://schemas.openxmlformats.org/officeDocument/2006/relationships" ref="H69" r:id="rId65"/>
    <hyperlink xmlns:r="http://schemas.openxmlformats.org/officeDocument/2006/relationships" ref="H70" r:id="rId66"/>
    <hyperlink xmlns:r="http://schemas.openxmlformats.org/officeDocument/2006/relationships" ref="H71" r:id="rId67"/>
    <hyperlink xmlns:r="http://schemas.openxmlformats.org/officeDocument/2006/relationships" ref="H72" r:id="rId68"/>
    <hyperlink xmlns:r="http://schemas.openxmlformats.org/officeDocument/2006/relationships" ref="H73" r:id="rId69"/>
    <hyperlink xmlns:r="http://schemas.openxmlformats.org/officeDocument/2006/relationships" ref="H74" r:id="rId70"/>
    <hyperlink xmlns:r="http://schemas.openxmlformats.org/officeDocument/2006/relationships" ref="H75" r:id="rId71"/>
    <hyperlink xmlns:r="http://schemas.openxmlformats.org/officeDocument/2006/relationships" ref="H76" r:id="rId72"/>
    <hyperlink xmlns:r="http://schemas.openxmlformats.org/officeDocument/2006/relationships" ref="H77" r:id="rId73"/>
    <hyperlink xmlns:r="http://schemas.openxmlformats.org/officeDocument/2006/relationships" ref="H78" r:id="rId74"/>
    <hyperlink xmlns:r="http://schemas.openxmlformats.org/officeDocument/2006/relationships" ref="H79" r:id="rId75"/>
    <hyperlink xmlns:r="http://schemas.openxmlformats.org/officeDocument/2006/relationships" ref="H80" r:id="rId76"/>
    <hyperlink xmlns:r="http://schemas.openxmlformats.org/officeDocument/2006/relationships" ref="H81" r:id="rId77"/>
    <hyperlink xmlns:r="http://schemas.openxmlformats.org/officeDocument/2006/relationships" ref="H82" r:id="rId78"/>
    <hyperlink xmlns:r="http://schemas.openxmlformats.org/officeDocument/2006/relationships" ref="H83" r:id="rId79"/>
    <hyperlink xmlns:r="http://schemas.openxmlformats.org/officeDocument/2006/relationships" ref="H84" r:id="rId80"/>
    <hyperlink xmlns:r="http://schemas.openxmlformats.org/officeDocument/2006/relationships" ref="H85" r:id="rId81"/>
    <hyperlink xmlns:r="http://schemas.openxmlformats.org/officeDocument/2006/relationships" ref="H86" r:id="rId82"/>
    <hyperlink xmlns:r="http://schemas.openxmlformats.org/officeDocument/2006/relationships" ref="H87" r:id="rId83"/>
    <hyperlink xmlns:r="http://schemas.openxmlformats.org/officeDocument/2006/relationships" ref="H88" r:id="rId84"/>
    <hyperlink xmlns:r="http://schemas.openxmlformats.org/officeDocument/2006/relationships" ref="H89" r:id="rId85"/>
    <hyperlink xmlns:r="http://schemas.openxmlformats.org/officeDocument/2006/relationships" ref="H90" r:id="rId86"/>
    <hyperlink xmlns:r="http://schemas.openxmlformats.org/officeDocument/2006/relationships" ref="H91" r:id="rId87"/>
    <hyperlink xmlns:r="http://schemas.openxmlformats.org/officeDocument/2006/relationships" ref="H92" r:id="rId88"/>
    <hyperlink xmlns:r="http://schemas.openxmlformats.org/officeDocument/2006/relationships" ref="H93" r:id="rId89"/>
    <hyperlink xmlns:r="http://schemas.openxmlformats.org/officeDocument/2006/relationships" ref="H94" r:id="rId90"/>
    <hyperlink xmlns:r="http://schemas.openxmlformats.org/officeDocument/2006/relationships" ref="H95" r:id="rId91"/>
    <hyperlink xmlns:r="http://schemas.openxmlformats.org/officeDocument/2006/relationships" ref="H96" r:id="rId92"/>
    <hyperlink xmlns:r="http://schemas.openxmlformats.org/officeDocument/2006/relationships" ref="H97" r:id="rId93"/>
    <hyperlink xmlns:r="http://schemas.openxmlformats.org/officeDocument/2006/relationships" ref="H98" r:id="rId94"/>
    <hyperlink xmlns:r="http://schemas.openxmlformats.org/officeDocument/2006/relationships" ref="H99" r:id="rId95"/>
    <hyperlink xmlns:r="http://schemas.openxmlformats.org/officeDocument/2006/relationships" ref="H100" r:id="rId96"/>
    <hyperlink xmlns:r="http://schemas.openxmlformats.org/officeDocument/2006/relationships" ref="H101" r:id="rId97"/>
    <hyperlink xmlns:r="http://schemas.openxmlformats.org/officeDocument/2006/relationships" ref="H102" r:id="rId98"/>
    <hyperlink xmlns:r="http://schemas.openxmlformats.org/officeDocument/2006/relationships" ref="H103" r:id="rId99"/>
    <hyperlink xmlns:r="http://schemas.openxmlformats.org/officeDocument/2006/relationships" ref="H104" r:id="rId100"/>
    <hyperlink xmlns:r="http://schemas.openxmlformats.org/officeDocument/2006/relationships" ref="H105" r:id="rId101"/>
    <hyperlink xmlns:r="http://schemas.openxmlformats.org/officeDocument/2006/relationships" ref="H106" r:id="rId102"/>
    <hyperlink xmlns:r="http://schemas.openxmlformats.org/officeDocument/2006/relationships" ref="H107" r:id="rId103"/>
    <hyperlink xmlns:r="http://schemas.openxmlformats.org/officeDocument/2006/relationships" ref="H108" r:id="rId104"/>
    <hyperlink xmlns:r="http://schemas.openxmlformats.org/officeDocument/2006/relationships" ref="H109" r:id="rId105"/>
    <hyperlink xmlns:r="http://schemas.openxmlformats.org/officeDocument/2006/relationships" ref="H110" r:id="rId106"/>
    <hyperlink xmlns:r="http://schemas.openxmlformats.org/officeDocument/2006/relationships" ref="H111" r:id="rId107"/>
    <hyperlink xmlns:r="http://schemas.openxmlformats.org/officeDocument/2006/relationships" ref="H112" r:id="rId108"/>
    <hyperlink xmlns:r="http://schemas.openxmlformats.org/officeDocument/2006/relationships" ref="H113" r:id="rId109"/>
    <hyperlink xmlns:r="http://schemas.openxmlformats.org/officeDocument/2006/relationships" ref="H114" r:id="rId110"/>
    <hyperlink xmlns:r="http://schemas.openxmlformats.org/officeDocument/2006/relationships" ref="H115" r:id="rId111"/>
    <hyperlink xmlns:r="http://schemas.openxmlformats.org/officeDocument/2006/relationships" ref="H116" r:id="rId112"/>
    <hyperlink xmlns:r="http://schemas.openxmlformats.org/officeDocument/2006/relationships" ref="H117" r:id="rId113"/>
    <hyperlink xmlns:r="http://schemas.openxmlformats.org/officeDocument/2006/relationships" ref="H118" r:id="rId114"/>
    <hyperlink xmlns:r="http://schemas.openxmlformats.org/officeDocument/2006/relationships" ref="H119" r:id="rId115"/>
    <hyperlink xmlns:r="http://schemas.openxmlformats.org/officeDocument/2006/relationships" ref="H120" r:id="rId116"/>
    <hyperlink xmlns:r="http://schemas.openxmlformats.org/officeDocument/2006/relationships" ref="H121" r:id="rId117"/>
    <hyperlink xmlns:r="http://schemas.openxmlformats.org/officeDocument/2006/relationships" ref="H122" r:id="rId118"/>
    <hyperlink xmlns:r="http://schemas.openxmlformats.org/officeDocument/2006/relationships" ref="H123" r:id="rId119"/>
    <hyperlink xmlns:r="http://schemas.openxmlformats.org/officeDocument/2006/relationships" ref="H124" r:id="rId120"/>
    <hyperlink xmlns:r="http://schemas.openxmlformats.org/officeDocument/2006/relationships" ref="H125" r:id="rId121"/>
    <hyperlink xmlns:r="http://schemas.openxmlformats.org/officeDocument/2006/relationships" ref="H126" r:id="rId122"/>
    <hyperlink xmlns:r="http://schemas.openxmlformats.org/officeDocument/2006/relationships" ref="H127" r:id="rId123"/>
    <hyperlink xmlns:r="http://schemas.openxmlformats.org/officeDocument/2006/relationships" ref="H128" r:id="rId124"/>
    <hyperlink xmlns:r="http://schemas.openxmlformats.org/officeDocument/2006/relationships" ref="H129" r:id="rId125"/>
    <hyperlink xmlns:r="http://schemas.openxmlformats.org/officeDocument/2006/relationships" ref="H130" r:id="rId126"/>
    <hyperlink xmlns:r="http://schemas.openxmlformats.org/officeDocument/2006/relationships" ref="H131" r:id="rId127"/>
    <hyperlink xmlns:r="http://schemas.openxmlformats.org/officeDocument/2006/relationships" ref="H132" r:id="rId128"/>
    <hyperlink xmlns:r="http://schemas.openxmlformats.org/officeDocument/2006/relationships" ref="H136" r:id="rId129"/>
    <hyperlink xmlns:r="http://schemas.openxmlformats.org/officeDocument/2006/relationships" ref="H139" r:id="rId130"/>
    <hyperlink xmlns:r="http://schemas.openxmlformats.org/officeDocument/2006/relationships" ref="H140" r:id="rId131"/>
    <hyperlink xmlns:r="http://schemas.openxmlformats.org/officeDocument/2006/relationships" ref="H141" r:id="rId132"/>
    <hyperlink xmlns:r="http://schemas.openxmlformats.org/officeDocument/2006/relationships" ref="H142" r:id="rId133"/>
    <hyperlink xmlns:r="http://schemas.openxmlformats.org/officeDocument/2006/relationships" ref="H143" r:id="rId134"/>
    <hyperlink xmlns:r="http://schemas.openxmlformats.org/officeDocument/2006/relationships" ref="H144" r:id="rId135"/>
    <hyperlink xmlns:r="http://schemas.openxmlformats.org/officeDocument/2006/relationships" ref="H145" r:id="rId136"/>
    <hyperlink xmlns:r="http://schemas.openxmlformats.org/officeDocument/2006/relationships" ref="H146" r:id="rId137"/>
    <hyperlink xmlns:r="http://schemas.openxmlformats.org/officeDocument/2006/relationships" ref="H150" r:id="rId138"/>
    <hyperlink xmlns:r="http://schemas.openxmlformats.org/officeDocument/2006/relationships" ref="H151" r:id="rId139"/>
    <hyperlink xmlns:r="http://schemas.openxmlformats.org/officeDocument/2006/relationships" ref="H152" r:id="rId140"/>
    <hyperlink xmlns:r="http://schemas.openxmlformats.org/officeDocument/2006/relationships" ref="H153" r:id="rId141"/>
    <hyperlink xmlns:r="http://schemas.openxmlformats.org/officeDocument/2006/relationships" ref="H154" r:id="rId142"/>
    <hyperlink xmlns:r="http://schemas.openxmlformats.org/officeDocument/2006/relationships" ref="H155" r:id="rId143"/>
    <hyperlink xmlns:r="http://schemas.openxmlformats.org/officeDocument/2006/relationships" ref="H156" r:id="rId144"/>
    <hyperlink xmlns:r="http://schemas.openxmlformats.org/officeDocument/2006/relationships" ref="H157" r:id="rId145"/>
    <hyperlink xmlns:r="http://schemas.openxmlformats.org/officeDocument/2006/relationships" ref="H170" r:id="rId146"/>
    <hyperlink xmlns:r="http://schemas.openxmlformats.org/officeDocument/2006/relationships" ref="H171" r:id="rId147"/>
    <hyperlink xmlns:r="http://schemas.openxmlformats.org/officeDocument/2006/relationships" ref="H172" r:id="rId148"/>
    <hyperlink xmlns:r="http://schemas.openxmlformats.org/officeDocument/2006/relationships" ref="H173" r:id="rId149"/>
    <hyperlink xmlns:r="http://schemas.openxmlformats.org/officeDocument/2006/relationships" ref="H174" r:id="rId150"/>
    <hyperlink xmlns:r="http://schemas.openxmlformats.org/officeDocument/2006/relationships" ref="H175" r:id="rId151"/>
    <hyperlink xmlns:r="http://schemas.openxmlformats.org/officeDocument/2006/relationships" ref="H176" r:id="rId152"/>
    <hyperlink xmlns:r="http://schemas.openxmlformats.org/officeDocument/2006/relationships" ref="H177" r:id="rId153"/>
    <hyperlink xmlns:r="http://schemas.openxmlformats.org/officeDocument/2006/relationships" ref="H178" r:id="rId154"/>
    <hyperlink xmlns:r="http://schemas.openxmlformats.org/officeDocument/2006/relationships" ref="H179" r:id="rId155"/>
    <hyperlink xmlns:r="http://schemas.openxmlformats.org/officeDocument/2006/relationships" ref="H180" r:id="rId156"/>
    <hyperlink xmlns:r="http://schemas.openxmlformats.org/officeDocument/2006/relationships" ref="H181" r:id="rId157"/>
    <hyperlink xmlns:r="http://schemas.openxmlformats.org/officeDocument/2006/relationships" ref="H182" r:id="rId158"/>
    <hyperlink xmlns:r="http://schemas.openxmlformats.org/officeDocument/2006/relationships" ref="H183" r:id="rId159"/>
    <hyperlink xmlns:r="http://schemas.openxmlformats.org/officeDocument/2006/relationships" ref="H184" r:id="rId160"/>
    <hyperlink xmlns:r="http://schemas.openxmlformats.org/officeDocument/2006/relationships" ref="H185" r:id="rId161"/>
    <hyperlink xmlns:r="http://schemas.openxmlformats.org/officeDocument/2006/relationships" ref="H186" r:id="rId162"/>
    <hyperlink xmlns:r="http://schemas.openxmlformats.org/officeDocument/2006/relationships" ref="H187" r:id="rId163"/>
    <hyperlink xmlns:r="http://schemas.openxmlformats.org/officeDocument/2006/relationships" ref="H188" r:id="rId164"/>
    <hyperlink xmlns:r="http://schemas.openxmlformats.org/officeDocument/2006/relationships" ref="H189" r:id="rId165"/>
    <hyperlink xmlns:r="http://schemas.openxmlformats.org/officeDocument/2006/relationships" ref="H190" r:id="rId166"/>
    <hyperlink xmlns:r="http://schemas.openxmlformats.org/officeDocument/2006/relationships" ref="H191" r:id="rId167"/>
    <hyperlink xmlns:r="http://schemas.openxmlformats.org/officeDocument/2006/relationships" ref="H192" r:id="rId168"/>
    <hyperlink xmlns:r="http://schemas.openxmlformats.org/officeDocument/2006/relationships" ref="H193" r:id="rId169"/>
    <hyperlink xmlns:r="http://schemas.openxmlformats.org/officeDocument/2006/relationships" ref="H194" r:id="rId170"/>
    <hyperlink xmlns:r="http://schemas.openxmlformats.org/officeDocument/2006/relationships" ref="H195" r:id="rId171"/>
    <hyperlink xmlns:r="http://schemas.openxmlformats.org/officeDocument/2006/relationships" ref="H196" r:id="rId172"/>
    <hyperlink xmlns:r="http://schemas.openxmlformats.org/officeDocument/2006/relationships" ref="H197" r:id="rId173"/>
    <hyperlink xmlns:r="http://schemas.openxmlformats.org/officeDocument/2006/relationships" ref="H198" r:id="rId174"/>
    <hyperlink xmlns:r="http://schemas.openxmlformats.org/officeDocument/2006/relationships" ref="H199" r:id="rId175"/>
    <hyperlink xmlns:r="http://schemas.openxmlformats.org/officeDocument/2006/relationships" ref="H200" r:id="rId176"/>
    <hyperlink xmlns:r="http://schemas.openxmlformats.org/officeDocument/2006/relationships" ref="H201" r:id="rId177"/>
    <hyperlink xmlns:r="http://schemas.openxmlformats.org/officeDocument/2006/relationships" ref="H202" r:id="rId178"/>
    <hyperlink xmlns:r="http://schemas.openxmlformats.org/officeDocument/2006/relationships" ref="H203" r:id="rId179"/>
    <hyperlink xmlns:r="http://schemas.openxmlformats.org/officeDocument/2006/relationships" ref="H204" r:id="rId180"/>
    <hyperlink xmlns:r="http://schemas.openxmlformats.org/officeDocument/2006/relationships" ref="H205" r:id="rId181"/>
    <hyperlink xmlns:r="http://schemas.openxmlformats.org/officeDocument/2006/relationships" ref="H206" r:id="rId182"/>
    <hyperlink xmlns:r="http://schemas.openxmlformats.org/officeDocument/2006/relationships" ref="H207" r:id="rId183"/>
    <hyperlink xmlns:r="http://schemas.openxmlformats.org/officeDocument/2006/relationships" ref="H208" r:id="rId184"/>
    <hyperlink xmlns:r="http://schemas.openxmlformats.org/officeDocument/2006/relationships" ref="H209" r:id="rId185"/>
    <hyperlink xmlns:r="http://schemas.openxmlformats.org/officeDocument/2006/relationships" ref="H210" r:id="rId186"/>
    <hyperlink xmlns:r="http://schemas.openxmlformats.org/officeDocument/2006/relationships" ref="H211" r:id="rId187"/>
    <hyperlink xmlns:r="http://schemas.openxmlformats.org/officeDocument/2006/relationships" ref="H212" r:id="rId188"/>
    <hyperlink xmlns:r="http://schemas.openxmlformats.org/officeDocument/2006/relationships" ref="H213" r:id="rId189"/>
    <hyperlink xmlns:r="http://schemas.openxmlformats.org/officeDocument/2006/relationships" ref="H214" r:id="rId190"/>
    <hyperlink xmlns:r="http://schemas.openxmlformats.org/officeDocument/2006/relationships" ref="H215" r:id="rId191"/>
    <hyperlink xmlns:r="http://schemas.openxmlformats.org/officeDocument/2006/relationships" ref="H216" r:id="rId192"/>
  </hyperlinks>
  <pageMargins left="0.75" right="0.75" top="1" bottom="1" header="0.5" footer="0.5"/>
  <pageSetup orientation="landscape" paperSize="9" fitToHeight="0" fitToWidth="1"/>
  <headerFooter>
    <oddHeader/>
    <oddFooter>&amp;RСтраница &amp;P из &amp;N · Счётикс</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H34"/>
  <sheetViews>
    <sheetView showGridLines="0" workbookViewId="0">
      <pane ySplit="4" topLeftCell="A5" activePane="bottomLeft" state="frozen"/>
      <selection pane="bottomLeft" activeCell="A1" sqref="A1"/>
    </sheetView>
  </sheetViews>
  <sheetFormatPr baseColWidth="8" defaultRowHeight="15"/>
  <cols>
    <col width="22" customWidth="1" min="1" max="1"/>
    <col width="42" customWidth="1" min="2" max="2"/>
    <col width="16" customWidth="1" min="3" max="3"/>
    <col width="14" customWidth="1" min="4" max="4"/>
    <col width="14" customWidth="1" min="5" max="5"/>
    <col width="10" customWidth="1" min="6" max="6"/>
    <col width="10" customWidth="1" min="7" max="7"/>
    <col width="12" customWidth="1" min="8" max="8"/>
  </cols>
  <sheetData>
    <row r="1" ht="22" customHeight="1">
      <c r="A1" s="1" t="inlineStr">
        <is>
          <t>04 · БЛОКИ — состав экрана</t>
        </is>
      </c>
    </row>
    <row r="2" ht="32" customHeight="1">
      <c r="A2" s="2" t="inlineStr">
        <is>
          <t>Один блок = одна таблица в калькуляторе. pack=direct входит в минимум.</t>
        </is>
      </c>
    </row>
    <row r="4" ht="26" customHeight="1">
      <c r="A4" s="5" t="inlineStr">
        <is>
          <t>ID</t>
        </is>
      </c>
      <c r="B4" s="5" t="inlineStr">
        <is>
          <t>Название</t>
        </is>
      </c>
      <c r="C4" s="5" t="inlineStr">
        <is>
          <t>Раздел</t>
        </is>
      </c>
      <c r="D4" s="5" t="inlineStr">
        <is>
          <t>Упаковка</t>
        </is>
      </c>
      <c r="E4" s="5" t="inlineStr">
        <is>
          <t>Часть</t>
        </is>
      </c>
      <c r="F4" s="5" t="inlineStr">
        <is>
          <t>Школа</t>
        </is>
      </c>
      <c r="G4" s="5" t="inlineStr">
        <is>
          <t>Ссылки</t>
        </is>
      </c>
      <c r="H4" s="5" t="inlineStr">
        <is>
          <t>Тип строк</t>
        </is>
      </c>
    </row>
    <row r="5">
      <c r="A5" s="8" t="inlineStr">
        <is>
          <t>acc</t>
        </is>
      </c>
      <c r="B5" s="7" t="inlineStr">
        <is>
          <t>Аксессуары</t>
        </is>
      </c>
      <c r="C5" s="8" t="inlineStr">
        <is>
          <t>child_buy</t>
        </is>
      </c>
      <c r="D5" s="8" t="inlineStr">
        <is>
          <t>direct</t>
        </is>
      </c>
      <c r="E5" s="8" t="inlineStr">
        <is>
          <t>wear</t>
        </is>
      </c>
      <c r="F5" s="7" t="inlineStr"/>
      <c r="G5" s="7" t="inlineStr">
        <is>
          <t>да</t>
        </is>
      </c>
      <c r="H5" s="8" t="inlineStr">
        <is>
          <t>amort</t>
        </is>
      </c>
    </row>
    <row r="6">
      <c r="A6" s="8" t="inlineStr">
        <is>
          <t>underwear</t>
        </is>
      </c>
      <c r="B6" s="7" t="inlineStr">
        <is>
          <t>Бельё</t>
        </is>
      </c>
      <c r="C6" s="8" t="inlineStr">
        <is>
          <t>child_buy</t>
        </is>
      </c>
      <c r="D6" s="8" t="inlineStr">
        <is>
          <t>direct</t>
        </is>
      </c>
      <c r="E6" s="8" t="inlineStr">
        <is>
          <t>wear</t>
        </is>
      </c>
      <c r="F6" s="7" t="inlineStr"/>
      <c r="G6" s="7" t="inlineStr">
        <is>
          <t>да</t>
        </is>
      </c>
      <c r="H6" s="8" t="inlineStr">
        <is>
          <t>amort</t>
        </is>
      </c>
    </row>
    <row r="7">
      <c r="A7" s="8" t="inlineStr">
        <is>
          <t>outer</t>
        </is>
      </c>
      <c r="B7" s="7" t="inlineStr">
        <is>
          <t>Верхняя одежда</t>
        </is>
      </c>
      <c r="C7" s="8" t="inlineStr">
        <is>
          <t>child_buy</t>
        </is>
      </c>
      <c r="D7" s="8" t="inlineStr">
        <is>
          <t>direct</t>
        </is>
      </c>
      <c r="E7" s="8" t="inlineStr">
        <is>
          <t>wear</t>
        </is>
      </c>
      <c r="F7" s="7" t="inlineStr"/>
      <c r="G7" s="7" t="inlineStr">
        <is>
          <t>да</t>
        </is>
      </c>
      <c r="H7" s="8" t="inlineStr">
        <is>
          <t>amort</t>
        </is>
      </c>
    </row>
    <row r="8">
      <c r="A8" s="8" t="inlineStr">
        <is>
          <t>room</t>
        </is>
      </c>
      <c r="B8" s="7" t="inlineStr">
        <is>
          <t>Комната</t>
        </is>
      </c>
      <c r="C8" s="8" t="inlineStr">
        <is>
          <t>child_buy</t>
        </is>
      </c>
      <c r="D8" s="8" t="inlineStr">
        <is>
          <t>direct</t>
        </is>
      </c>
      <c r="E8" s="8" t="inlineStr">
        <is>
          <t>home_setup</t>
        </is>
      </c>
      <c r="F8" s="7" t="inlineStr"/>
      <c r="G8" s="7" t="inlineStr">
        <is>
          <t>да</t>
        </is>
      </c>
      <c r="H8" s="8" t="inlineStr">
        <is>
          <t>amort</t>
        </is>
      </c>
    </row>
    <row r="9">
      <c r="A9" s="8" t="inlineStr">
        <is>
          <t>equip</t>
        </is>
      </c>
      <c r="B9" s="7" t="inlineStr">
        <is>
          <t>Оборудование</t>
        </is>
      </c>
      <c r="C9" s="8" t="inlineStr">
        <is>
          <t>child_buy</t>
        </is>
      </c>
      <c r="D9" s="8" t="inlineStr">
        <is>
          <t>direct</t>
        </is>
      </c>
      <c r="E9" s="8" t="inlineStr">
        <is>
          <t>home_setup</t>
        </is>
      </c>
      <c r="F9" s="7" t="inlineStr"/>
      <c r="G9" s="7" t="inlineStr">
        <is>
          <t>да</t>
        </is>
      </c>
      <c r="H9" s="8" t="inlineStr">
        <is>
          <t>amort</t>
        </is>
      </c>
    </row>
    <row r="10">
      <c r="A10" s="8" t="inlineStr">
        <is>
          <t>shoes</t>
        </is>
      </c>
      <c r="B10" s="7" t="inlineStr">
        <is>
          <t>Обувь</t>
        </is>
      </c>
      <c r="C10" s="8" t="inlineStr">
        <is>
          <t>child_buy</t>
        </is>
      </c>
      <c r="D10" s="8" t="inlineStr">
        <is>
          <t>direct</t>
        </is>
      </c>
      <c r="E10" s="8" t="inlineStr">
        <is>
          <t>wear</t>
        </is>
      </c>
      <c r="F10" s="7" t="inlineStr"/>
      <c r="G10" s="7" t="inlineStr">
        <is>
          <t>да</t>
        </is>
      </c>
      <c r="H10" s="8" t="inlineStr">
        <is>
          <t>amort</t>
        </is>
      </c>
    </row>
    <row r="11">
      <c r="A11" s="8" t="inlineStr">
        <is>
          <t>layer2</t>
        </is>
      </c>
      <c r="B11" s="7" t="inlineStr">
        <is>
          <t>Одежда второго слоя</t>
        </is>
      </c>
      <c r="C11" s="8" t="inlineStr">
        <is>
          <t>child_buy</t>
        </is>
      </c>
      <c r="D11" s="8" t="inlineStr">
        <is>
          <t>direct</t>
        </is>
      </c>
      <c r="E11" s="8" t="inlineStr">
        <is>
          <t>wear</t>
        </is>
      </c>
      <c r="F11" s="7" t="inlineStr"/>
      <c r="G11" s="7" t="inlineStr">
        <is>
          <t>да</t>
        </is>
      </c>
      <c r="H11" s="8" t="inlineStr">
        <is>
          <t>amort</t>
        </is>
      </c>
    </row>
    <row r="12">
      <c r="A12" s="8" t="inlineStr">
        <is>
          <t>personal_buy</t>
        </is>
      </c>
      <c r="B12" s="7" t="inlineStr">
        <is>
          <t>Предметы личного пользования</t>
        </is>
      </c>
      <c r="C12" s="8" t="inlineStr">
        <is>
          <t>child_buy</t>
        </is>
      </c>
      <c r="D12" s="8" t="inlineStr">
        <is>
          <t>direct</t>
        </is>
      </c>
      <c r="E12" s="8" t="inlineStr">
        <is>
          <t>other</t>
        </is>
      </c>
      <c r="F12" s="7" t="inlineStr"/>
      <c r="G12" s="7" t="inlineStr">
        <is>
          <t>да</t>
        </is>
      </c>
      <c r="H12" s="8" t="inlineStr">
        <is>
          <t>amort</t>
        </is>
      </c>
    </row>
    <row r="13">
      <c r="A13" s="8" t="inlineStr">
        <is>
          <t>food</t>
        </is>
      </c>
      <c r="B13" s="7" t="inlineStr">
        <is>
          <t>Продукты питания</t>
        </is>
      </c>
      <c r="C13" s="8" t="inlineStr">
        <is>
          <t>child_buy</t>
        </is>
      </c>
      <c r="D13" s="8" t="inlineStr">
        <is>
          <t>direct</t>
        </is>
      </c>
      <c r="E13" s="8" t="inlineStr">
        <is>
          <t>other</t>
        </is>
      </c>
      <c r="F13" s="7" t="inlineStr"/>
      <c r="G13" s="7" t="inlineStr">
        <is>
          <t>да</t>
        </is>
      </c>
      <c r="H13" s="8" t="inlineStr">
        <is>
          <t>pay</t>
        </is>
      </c>
    </row>
    <row r="14">
      <c r="A14" s="8" t="inlineStr">
        <is>
          <t>sport_buy</t>
        </is>
      </c>
      <c r="B14" s="7" t="inlineStr">
        <is>
          <t>Спорт</t>
        </is>
      </c>
      <c r="C14" s="8" t="inlineStr">
        <is>
          <t>child_buy</t>
        </is>
      </c>
      <c r="D14" s="8" t="inlineStr">
        <is>
          <t>direct</t>
        </is>
      </c>
      <c r="E14" s="8" t="inlineStr">
        <is>
          <t>leisure</t>
        </is>
      </c>
      <c r="F14" s="7" t="inlineStr"/>
      <c r="G14" s="7" t="inlineStr">
        <is>
          <t>да</t>
        </is>
      </c>
      <c r="H14" s="8" t="inlineStr">
        <is>
          <t>amort</t>
        </is>
      </c>
    </row>
    <row r="15">
      <c r="A15" s="8" t="inlineStr">
        <is>
          <t>school_ward</t>
        </is>
      </c>
      <c r="B15" s="7" t="inlineStr">
        <is>
          <t>Школа: гардероб</t>
        </is>
      </c>
      <c r="C15" s="8" t="inlineStr">
        <is>
          <t>school</t>
        </is>
      </c>
      <c r="D15" s="8" t="inlineStr">
        <is>
          <t>direct</t>
        </is>
      </c>
      <c r="E15" s="8" t="inlineStr">
        <is>
          <t>school</t>
        </is>
      </c>
      <c r="F15" s="7" t="inlineStr">
        <is>
          <t>да</t>
        </is>
      </c>
      <c r="G15" s="7" t="inlineStr">
        <is>
          <t>да</t>
        </is>
      </c>
      <c r="H15" s="8" t="inlineStr">
        <is>
          <t>amort</t>
        </is>
      </c>
    </row>
    <row r="16">
      <c r="A16" s="8" t="inlineStr">
        <is>
          <t>school_stuff</t>
        </is>
      </c>
      <c r="B16" s="7" t="inlineStr">
        <is>
          <t>Школа: принадлежности</t>
        </is>
      </c>
      <c r="C16" s="8" t="inlineStr">
        <is>
          <t>school</t>
        </is>
      </c>
      <c r="D16" s="8" t="inlineStr">
        <is>
          <t>direct</t>
        </is>
      </c>
      <c r="E16" s="8" t="inlineStr">
        <is>
          <t>school</t>
        </is>
      </c>
      <c r="F16" s="7" t="inlineStr">
        <is>
          <t>да</t>
        </is>
      </c>
      <c r="G16" s="7" t="inlineStr">
        <is>
          <t>да</t>
        </is>
      </c>
      <c r="H16" s="8" t="inlineStr">
        <is>
          <t>amort</t>
        </is>
      </c>
    </row>
    <row r="17">
      <c r="A17" s="8" t="inlineStr">
        <is>
          <t>school_reg</t>
        </is>
      </c>
      <c r="B17" s="7" t="inlineStr">
        <is>
          <t>Школа: регулярные платежи</t>
        </is>
      </c>
      <c r="C17" s="8" t="inlineStr">
        <is>
          <t>school</t>
        </is>
      </c>
      <c r="D17" s="8" t="inlineStr">
        <is>
          <t>direct</t>
        </is>
      </c>
      <c r="E17" s="8" t="inlineStr">
        <is>
          <t>school</t>
        </is>
      </c>
      <c r="F17" s="7" t="inlineStr">
        <is>
          <t>да</t>
        </is>
      </c>
      <c r="G17" s="7" t="inlineStr"/>
      <c r="H17" s="8" t="inlineStr">
        <is>
          <t>pay</t>
        </is>
      </c>
    </row>
    <row r="18">
      <c r="A18" s="8" t="inlineStr">
        <is>
          <t>school_add</t>
        </is>
      </c>
      <c r="B18" s="7" t="inlineStr">
        <is>
          <t>Школа: дополнительные расходы</t>
        </is>
      </c>
      <c r="C18" s="8" t="inlineStr">
        <is>
          <t>school</t>
        </is>
      </c>
      <c r="D18" s="8" t="inlineStr">
        <is>
          <t>direct</t>
        </is>
      </c>
      <c r="E18" s="8" t="inlineStr">
        <is>
          <t>school</t>
        </is>
      </c>
      <c r="F18" s="7" t="inlineStr">
        <is>
          <t>да</t>
        </is>
      </c>
      <c r="G18" s="7" t="inlineStr"/>
      <c r="H18" s="8" t="inlineStr">
        <is>
          <t>pay</t>
        </is>
      </c>
    </row>
    <row r="19">
      <c r="A19" s="8" t="inlineStr">
        <is>
          <t>extra_buy</t>
        </is>
      </c>
      <c r="B19" s="7" t="inlineStr">
        <is>
          <t>Дополнительное образование: обеспечение</t>
        </is>
      </c>
      <c r="C19" s="8" t="inlineStr">
        <is>
          <t>school</t>
        </is>
      </c>
      <c r="D19" s="8" t="inlineStr">
        <is>
          <t>direct</t>
        </is>
      </c>
      <c r="E19" s="8" t="inlineStr">
        <is>
          <t>school</t>
        </is>
      </c>
      <c r="F19" s="7" t="inlineStr"/>
      <c r="G19" s="7" t="inlineStr">
        <is>
          <t>да</t>
        </is>
      </c>
      <c r="H19" s="8" t="inlineStr">
        <is>
          <t>amort</t>
        </is>
      </c>
    </row>
    <row r="20">
      <c r="A20" s="8" t="inlineStr">
        <is>
          <t>extra_pay</t>
        </is>
      </c>
      <c r="B20" s="7" t="inlineStr">
        <is>
          <t>Дополнительное образование: платежи</t>
        </is>
      </c>
      <c r="C20" s="8" t="inlineStr">
        <is>
          <t>school</t>
        </is>
      </c>
      <c r="D20" s="8" t="inlineStr">
        <is>
          <t>direct</t>
        </is>
      </c>
      <c r="E20" s="8" t="inlineStr">
        <is>
          <t>school</t>
        </is>
      </c>
      <c r="F20" s="7" t="inlineStr"/>
      <c r="G20" s="7" t="inlineStr">
        <is>
          <t>да</t>
        </is>
      </c>
      <c r="H20" s="8" t="inlineStr">
        <is>
          <t>pay</t>
        </is>
      </c>
    </row>
    <row r="21">
      <c r="A21" s="8" t="inlineStr">
        <is>
          <t>health_pharm</t>
        </is>
      </c>
      <c r="B21" s="7" t="inlineStr">
        <is>
          <t>Лекарства</t>
        </is>
      </c>
      <c r="C21" s="8" t="inlineStr">
        <is>
          <t>health</t>
        </is>
      </c>
      <c r="D21" s="8" t="inlineStr">
        <is>
          <t>direct</t>
        </is>
      </c>
      <c r="E21" s="8" t="inlineStr">
        <is>
          <t>health</t>
        </is>
      </c>
      <c r="F21" s="7" t="inlineStr"/>
      <c r="G21" s="7" t="inlineStr">
        <is>
          <t>да</t>
        </is>
      </c>
      <c r="H21" s="8" t="inlineStr">
        <is>
          <t>pay</t>
        </is>
      </c>
    </row>
    <row r="22">
      <c r="A22" s="8" t="inlineStr">
        <is>
          <t>health_serv</t>
        </is>
      </c>
      <c r="B22" s="7" t="inlineStr">
        <is>
          <t>Медицинские услуги</t>
        </is>
      </c>
      <c r="C22" s="8" t="inlineStr">
        <is>
          <t>health</t>
        </is>
      </c>
      <c r="D22" s="8" t="inlineStr">
        <is>
          <t>direct</t>
        </is>
      </c>
      <c r="E22" s="8" t="inlineStr">
        <is>
          <t>health</t>
        </is>
      </c>
      <c r="F22" s="7" t="inlineStr"/>
      <c r="G22" s="7" t="inlineStr">
        <is>
          <t>да</t>
        </is>
      </c>
      <c r="H22" s="8" t="inlineStr">
        <is>
          <t>pay</t>
        </is>
      </c>
    </row>
    <row r="23">
      <c r="A23" s="8" t="inlineStr">
        <is>
          <t>pocket</t>
        </is>
      </c>
      <c r="B23" s="7" t="inlineStr">
        <is>
          <t>Карманные</t>
        </is>
      </c>
      <c r="C23" s="8" t="inlineStr">
        <is>
          <t>child_pay</t>
        </is>
      </c>
      <c r="D23" s="8" t="inlineStr">
        <is>
          <t>direct</t>
        </is>
      </c>
      <c r="E23" s="8" t="inlineStr">
        <is>
          <t>other</t>
        </is>
      </c>
      <c r="F23" s="7" t="inlineStr"/>
      <c r="G23" s="7" t="inlineStr"/>
      <c r="H23" s="8" t="inlineStr">
        <is>
          <t>pay</t>
        </is>
      </c>
    </row>
    <row r="24">
      <c r="A24" s="8" t="inlineStr">
        <is>
          <t>equip_pay</t>
        </is>
      </c>
      <c r="B24" s="7" t="inlineStr">
        <is>
          <t>Связь</t>
        </is>
      </c>
      <c r="C24" s="8" t="inlineStr">
        <is>
          <t>child_pay</t>
        </is>
      </c>
      <c r="D24" s="8" t="inlineStr">
        <is>
          <t>direct</t>
        </is>
      </c>
      <c r="E24" s="8" t="inlineStr">
        <is>
          <t>other</t>
        </is>
      </c>
      <c r="F24" s="7" t="inlineStr"/>
      <c r="G24" s="7" t="inlineStr"/>
      <c r="H24" s="8" t="inlineStr">
        <is>
          <t>pay</t>
        </is>
      </c>
    </row>
    <row r="25">
      <c r="A25" s="8" t="inlineStr">
        <is>
          <t>holidays_pay</t>
        </is>
      </c>
      <c r="B25" s="7" t="inlineStr">
        <is>
          <t>Праздники</t>
        </is>
      </c>
      <c r="C25" s="8" t="inlineStr">
        <is>
          <t>child_pay</t>
        </is>
      </c>
      <c r="D25" s="8" t="inlineStr">
        <is>
          <t>direct</t>
        </is>
      </c>
      <c r="E25" s="8" t="inlineStr">
        <is>
          <t>leisure</t>
        </is>
      </c>
      <c r="F25" s="7" t="inlineStr"/>
      <c r="G25" s="7" t="inlineStr"/>
      <c r="H25" s="8" t="inlineStr">
        <is>
          <t>amort</t>
        </is>
      </c>
    </row>
    <row r="26">
      <c r="A26" s="8" t="inlineStr">
        <is>
          <t>sport_pay</t>
        </is>
      </c>
      <c r="B26" s="7" t="inlineStr">
        <is>
          <t>Хобби и развлечения</t>
        </is>
      </c>
      <c r="C26" s="8" t="inlineStr">
        <is>
          <t>child_pay</t>
        </is>
      </c>
      <c r="D26" s="8" t="inlineStr">
        <is>
          <t>direct</t>
        </is>
      </c>
      <c r="E26" s="8" t="inlineStr">
        <is>
          <t>leisure</t>
        </is>
      </c>
      <c r="F26" s="7" t="inlineStr"/>
      <c r="G26" s="7" t="inlineStr"/>
      <c r="H26" s="8" t="inlineStr">
        <is>
          <t>pay</t>
        </is>
      </c>
    </row>
    <row r="27">
      <c r="A27" s="8" t="inlineStr">
        <is>
          <t>household_cosmetics</t>
        </is>
      </c>
      <c r="B27" s="7" t="inlineStr">
        <is>
          <t>Бытовая косметика</t>
        </is>
      </c>
      <c r="C27" s="8" t="inlineStr">
        <is>
          <t>shared_buy</t>
        </is>
      </c>
      <c r="D27" s="8" t="inlineStr">
        <is>
          <t>household</t>
        </is>
      </c>
      <c r="E27" s="8" t="inlineStr">
        <is>
          <t>shared</t>
        </is>
      </c>
      <c r="F27" s="7" t="inlineStr"/>
      <c r="G27" s="7" t="inlineStr">
        <is>
          <t>да</t>
        </is>
      </c>
      <c r="H27" s="8" t="inlineStr">
        <is>
          <t>pay</t>
        </is>
      </c>
    </row>
    <row r="28">
      <c r="A28" s="8" t="inlineStr">
        <is>
          <t>household_dishes</t>
        </is>
      </c>
      <c r="B28" s="7" t="inlineStr">
        <is>
          <t>Бытовая посуда</t>
        </is>
      </c>
      <c r="C28" s="8" t="inlineStr">
        <is>
          <t>shared_buy</t>
        </is>
      </c>
      <c r="D28" s="8" t="inlineStr">
        <is>
          <t>household</t>
        </is>
      </c>
      <c r="E28" s="8" t="inlineStr">
        <is>
          <t>shared</t>
        </is>
      </c>
      <c r="F28" s="7" t="inlineStr"/>
      <c r="G28" s="7" t="inlineStr">
        <is>
          <t>да</t>
        </is>
      </c>
      <c r="H28" s="8" t="inlineStr">
        <is>
          <t>amort</t>
        </is>
      </c>
    </row>
    <row r="29">
      <c r="A29" s="8" t="inlineStr">
        <is>
          <t>household_tech</t>
        </is>
      </c>
      <c r="B29" s="7" t="inlineStr">
        <is>
          <t>Бытовая техника</t>
        </is>
      </c>
      <c r="C29" s="8" t="inlineStr">
        <is>
          <t>shared_buy</t>
        </is>
      </c>
      <c r="D29" s="8" t="inlineStr">
        <is>
          <t>household</t>
        </is>
      </c>
      <c r="E29" s="8" t="inlineStr">
        <is>
          <t>shared</t>
        </is>
      </c>
      <c r="F29" s="7" t="inlineStr"/>
      <c r="G29" s="7" t="inlineStr">
        <is>
          <t>да</t>
        </is>
      </c>
      <c r="H29" s="8" t="inlineStr">
        <is>
          <t>amort</t>
        </is>
      </c>
    </row>
    <row r="30">
      <c r="A30" s="8" t="inlineStr">
        <is>
          <t>home_comfort</t>
        </is>
      </c>
      <c r="B30" s="7" t="inlineStr">
        <is>
          <t>Мебель и хозяйство</t>
        </is>
      </c>
      <c r="C30" s="8" t="inlineStr">
        <is>
          <t>shared_buy</t>
        </is>
      </c>
      <c r="D30" s="8" t="inlineStr">
        <is>
          <t>household</t>
        </is>
      </c>
      <c r="E30" s="8" t="inlineStr">
        <is>
          <t>shared</t>
        </is>
      </c>
      <c r="F30" s="7" t="inlineStr"/>
      <c r="G30" s="7" t="inlineStr">
        <is>
          <t>да</t>
        </is>
      </c>
      <c r="H30" s="8" t="inlineStr">
        <is>
          <t>amort</t>
        </is>
      </c>
    </row>
    <row r="31">
      <c r="A31" s="8" t="inlineStr">
        <is>
          <t>holidays_buy</t>
        </is>
      </c>
      <c r="B31" s="7" t="inlineStr">
        <is>
          <t>Праздники</t>
        </is>
      </c>
      <c r="C31" s="8" t="inlineStr">
        <is>
          <t>shared_buy</t>
        </is>
      </c>
      <c r="D31" s="8" t="inlineStr">
        <is>
          <t>household</t>
        </is>
      </c>
      <c r="E31" s="8" t="inlineStr">
        <is>
          <t>shared</t>
        </is>
      </c>
      <c r="F31" s="7" t="inlineStr"/>
      <c r="G31" s="7" t="inlineStr">
        <is>
          <t>да</t>
        </is>
      </c>
      <c r="H31" s="8" t="inlineStr">
        <is>
          <t>amort</t>
        </is>
      </c>
    </row>
    <row r="32">
      <c r="A32" s="8" t="inlineStr">
        <is>
          <t>home_pay</t>
        </is>
      </c>
      <c r="B32" s="7" t="inlineStr">
        <is>
          <t>Содержание жилья</t>
        </is>
      </c>
      <c r="C32" s="8" t="inlineStr">
        <is>
          <t>shared_pay</t>
        </is>
      </c>
      <c r="D32" s="8" t="inlineStr">
        <is>
          <t>housing</t>
        </is>
      </c>
      <c r="E32" s="8" t="inlineStr">
        <is>
          <t>shared</t>
        </is>
      </c>
      <c r="F32" s="7" t="inlineStr"/>
      <c r="G32" s="7" t="inlineStr"/>
      <c r="H32" s="8" t="inlineStr">
        <is>
          <t>pay</t>
        </is>
      </c>
    </row>
    <row r="33">
      <c r="A33" s="8" t="inlineStr">
        <is>
          <t>leisure_shared</t>
        </is>
      </c>
      <c r="B33" s="7" t="inlineStr">
        <is>
          <t>Отдых и досуг</t>
        </is>
      </c>
      <c r="C33" s="8" t="inlineStr">
        <is>
          <t>shared_pay</t>
        </is>
      </c>
      <c r="D33" s="8" t="inlineStr">
        <is>
          <t>trips</t>
        </is>
      </c>
      <c r="E33" s="8" t="inlineStr">
        <is>
          <t>shared</t>
        </is>
      </c>
      <c r="F33" s="7" t="inlineStr"/>
      <c r="G33" s="7" t="inlineStr"/>
      <c r="H33" s="8" t="inlineStr">
        <is>
          <t>pay</t>
        </is>
      </c>
    </row>
    <row r="34">
      <c r="A34" s="8" t="inlineStr">
        <is>
          <t>transport_pay</t>
        </is>
      </c>
      <c r="B34" s="7" t="inlineStr">
        <is>
          <t>Транспорт</t>
        </is>
      </c>
      <c r="C34" s="8" t="inlineStr">
        <is>
          <t>shared_pay</t>
        </is>
      </c>
      <c r="D34" s="8" t="inlineStr">
        <is>
          <t>transport</t>
        </is>
      </c>
      <c r="E34" s="8" t="inlineStr">
        <is>
          <t>shared</t>
        </is>
      </c>
      <c r="F34" s="7" t="inlineStr"/>
      <c r="G34" s="7" t="inlineStr"/>
      <c r="H34" s="8" t="inlineStr">
        <is>
          <t>pay</t>
        </is>
      </c>
    </row>
  </sheetData>
  <autoFilter ref="A4:H34"/>
  <mergeCells count="2">
    <mergeCell ref="A2:H2"/>
    <mergeCell ref="A1:H1"/>
  </mergeCells>
  <pageMargins left="0.75" right="0.75" top="1" bottom="1" header="0.5" footer="0.5"/>
  <pageSetup orientation="portrait" paperSize="9" fitToHeight="0" fitToWidth="1"/>
  <headerFooter>
    <oddHeader/>
    <oddFooter>&amp;RСтраница &amp;P из &amp;N · Счётикс</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50"/>
  <sheetViews>
    <sheetView showGridLines="0" workbookViewId="0">
      <pane ySplit="5" topLeftCell="A6" activePane="bottomLeft" state="frozen"/>
      <selection pane="bottomLeft" activeCell="A1" sqref="A1"/>
    </sheetView>
  </sheetViews>
  <sheetFormatPr baseColWidth="8" defaultRowHeight="15"/>
  <cols>
    <col width="44" customWidth="1" min="1" max="1"/>
    <col width="22" customWidth="1" min="2" max="2"/>
    <col width="14" customWidth="1" min="3" max="3"/>
    <col width="20" customWidth="1" min="4" max="4"/>
    <col width="22" customWidth="1" min="5" max="5"/>
  </cols>
  <sheetData>
    <row r="1" ht="22" customHeight="1">
      <c r="A1" s="1" t="inlineStr">
        <is>
          <t>05 · СВОДКА — один ребёнок</t>
        </is>
      </c>
    </row>
    <row r="2" ht="32" customHeight="1">
      <c r="A2" s="2" t="inlineStr">
        <is>
          <t>Все суммы — формулы SUMIF по 03_Каталоги. Правите жёлтое в каталоге, сводка обновится.</t>
        </is>
      </c>
    </row>
    <row r="4" ht="22" customHeight="1">
      <c r="A4" s="3" t="inlineStr">
        <is>
          <t>БЛОКИ</t>
        </is>
      </c>
      <c r="B4" s="4" t="n"/>
      <c r="C4" s="4" t="n"/>
      <c r="D4" s="4" t="n"/>
      <c r="E4" s="4" t="n"/>
    </row>
    <row r="5" ht="26" customHeight="1">
      <c r="A5" s="5" t="inlineStr">
        <is>
          <t>Блок</t>
        </is>
      </c>
      <c r="B5" s="5" t="inlineStr">
        <is>
          <t>ID</t>
        </is>
      </c>
      <c r="C5" s="5" t="inlineStr">
        <is>
          <t>Упаковка</t>
        </is>
      </c>
      <c r="D5" s="5" t="inlineStr">
        <is>
          <t>Ребёнок в год, ₽</t>
        </is>
      </c>
      <c r="E5" s="5" t="inlineStr">
        <is>
          <t>Ребёнок в месяц, ₽</t>
        </is>
      </c>
    </row>
    <row r="6">
      <c r="A6" s="7" t="inlineStr">
        <is>
          <t>Аксессуары</t>
        </is>
      </c>
      <c r="B6" s="8" t="inlineStr">
        <is>
          <t>acc</t>
        </is>
      </c>
      <c r="C6" s="8" t="inlineStr">
        <is>
          <t>direct</t>
        </is>
      </c>
      <c r="D6" s="19">
        <f>SUMIF('03_Каталоги'!$A$5:$A$230,B6,'03_Каталоги'!$L$5:$L$230)</f>
        <v/>
      </c>
      <c r="E6" s="19">
        <f>IF(D6=0,0,D6/MonthsYear)</f>
        <v/>
      </c>
    </row>
    <row r="7">
      <c r="A7" s="7" t="inlineStr">
        <is>
          <t>Бельё</t>
        </is>
      </c>
      <c r="B7" s="8" t="inlineStr">
        <is>
          <t>underwear</t>
        </is>
      </c>
      <c r="C7" s="8" t="inlineStr">
        <is>
          <t>direct</t>
        </is>
      </c>
      <c r="D7" s="19">
        <f>SUMIF('03_Каталоги'!$A$5:$A$230,B7,'03_Каталоги'!$L$5:$L$230)</f>
        <v/>
      </c>
      <c r="E7" s="19">
        <f>IF(D7=0,0,D7/MonthsYear)</f>
        <v/>
      </c>
    </row>
    <row r="8">
      <c r="A8" s="7" t="inlineStr">
        <is>
          <t>Верхняя одежда</t>
        </is>
      </c>
      <c r="B8" s="8" t="inlineStr">
        <is>
          <t>outer</t>
        </is>
      </c>
      <c r="C8" s="8" t="inlineStr">
        <is>
          <t>direct</t>
        </is>
      </c>
      <c r="D8" s="19">
        <f>SUMIF('03_Каталоги'!$A$5:$A$230,B8,'03_Каталоги'!$L$5:$L$230)</f>
        <v/>
      </c>
      <c r="E8" s="19">
        <f>IF(D8=0,0,D8/MonthsYear)</f>
        <v/>
      </c>
    </row>
    <row r="9">
      <c r="A9" s="7" t="inlineStr">
        <is>
          <t>Комната</t>
        </is>
      </c>
      <c r="B9" s="8" t="inlineStr">
        <is>
          <t>room</t>
        </is>
      </c>
      <c r="C9" s="8" t="inlineStr">
        <is>
          <t>direct</t>
        </is>
      </c>
      <c r="D9" s="19">
        <f>SUMIF('03_Каталоги'!$A$5:$A$230,B9,'03_Каталоги'!$L$5:$L$230)</f>
        <v/>
      </c>
      <c r="E9" s="19">
        <f>IF(D9=0,0,D9/MonthsYear)</f>
        <v/>
      </c>
    </row>
    <row r="10">
      <c r="A10" s="7" t="inlineStr">
        <is>
          <t>Оборудование</t>
        </is>
      </c>
      <c r="B10" s="8" t="inlineStr">
        <is>
          <t>equip</t>
        </is>
      </c>
      <c r="C10" s="8" t="inlineStr">
        <is>
          <t>direct</t>
        </is>
      </c>
      <c r="D10" s="19">
        <f>SUMIF('03_Каталоги'!$A$5:$A$230,B10,'03_Каталоги'!$L$5:$L$230)</f>
        <v/>
      </c>
      <c r="E10" s="19">
        <f>IF(D10=0,0,D10/MonthsYear)</f>
        <v/>
      </c>
    </row>
    <row r="11">
      <c r="A11" s="7" t="inlineStr">
        <is>
          <t>Обувь</t>
        </is>
      </c>
      <c r="B11" s="8" t="inlineStr">
        <is>
          <t>shoes</t>
        </is>
      </c>
      <c r="C11" s="8" t="inlineStr">
        <is>
          <t>direct</t>
        </is>
      </c>
      <c r="D11" s="19">
        <f>SUMIF('03_Каталоги'!$A$5:$A$230,B11,'03_Каталоги'!$L$5:$L$230)</f>
        <v/>
      </c>
      <c r="E11" s="19">
        <f>IF(D11=0,0,D11/MonthsYear)</f>
        <v/>
      </c>
    </row>
    <row r="12">
      <c r="A12" s="7" t="inlineStr">
        <is>
          <t>Одежда второго слоя</t>
        </is>
      </c>
      <c r="B12" s="8" t="inlineStr">
        <is>
          <t>layer2</t>
        </is>
      </c>
      <c r="C12" s="8" t="inlineStr">
        <is>
          <t>direct</t>
        </is>
      </c>
      <c r="D12" s="19">
        <f>SUMIF('03_Каталоги'!$A$5:$A$230,B12,'03_Каталоги'!$L$5:$L$230)</f>
        <v/>
      </c>
      <c r="E12" s="19">
        <f>IF(D12=0,0,D12/MonthsYear)</f>
        <v/>
      </c>
    </row>
    <row r="13">
      <c r="A13" s="7" t="inlineStr">
        <is>
          <t>Предметы личного пользования</t>
        </is>
      </c>
      <c r="B13" s="8" t="inlineStr">
        <is>
          <t>personal_buy</t>
        </is>
      </c>
      <c r="C13" s="8" t="inlineStr">
        <is>
          <t>direct</t>
        </is>
      </c>
      <c r="D13" s="19">
        <f>SUMIF('03_Каталоги'!$A$5:$A$230,B13,'03_Каталоги'!$L$5:$L$230)</f>
        <v/>
      </c>
      <c r="E13" s="19">
        <f>IF(D13=0,0,D13/MonthsYear)</f>
        <v/>
      </c>
    </row>
    <row r="14">
      <c r="A14" s="7" t="inlineStr">
        <is>
          <t>Продукты питания</t>
        </is>
      </c>
      <c r="B14" s="8" t="inlineStr">
        <is>
          <t>food</t>
        </is>
      </c>
      <c r="C14" s="8" t="inlineStr">
        <is>
          <t>direct</t>
        </is>
      </c>
      <c r="D14" s="19">
        <f>SUMIF('03_Каталоги'!$A$5:$A$230,B14,'03_Каталоги'!$L$5:$L$230)</f>
        <v/>
      </c>
      <c r="E14" s="19">
        <f>IF(D14=0,0,D14/MonthsYear)</f>
        <v/>
      </c>
    </row>
    <row r="15">
      <c r="A15" s="7" t="inlineStr">
        <is>
          <t>Спорт</t>
        </is>
      </c>
      <c r="B15" s="8" t="inlineStr">
        <is>
          <t>sport_buy</t>
        </is>
      </c>
      <c r="C15" s="8" t="inlineStr">
        <is>
          <t>direct</t>
        </is>
      </c>
      <c r="D15" s="19">
        <f>SUMIF('03_Каталоги'!$A$5:$A$230,B15,'03_Каталоги'!$L$5:$L$230)</f>
        <v/>
      </c>
      <c r="E15" s="19">
        <f>IF(D15=0,0,D15/MonthsYear)</f>
        <v/>
      </c>
    </row>
    <row r="16">
      <c r="A16" s="7" t="inlineStr">
        <is>
          <t>Школа: гардероб</t>
        </is>
      </c>
      <c r="B16" s="8" t="inlineStr">
        <is>
          <t>school_ward</t>
        </is>
      </c>
      <c r="C16" s="8" t="inlineStr">
        <is>
          <t>direct</t>
        </is>
      </c>
      <c r="D16" s="19">
        <f>SUMIF('03_Каталоги'!$A$5:$A$230,B16,'03_Каталоги'!$L$5:$L$230)</f>
        <v/>
      </c>
      <c r="E16" s="19">
        <f>IF(D16=0,0,D16/MonthsYear)</f>
        <v/>
      </c>
    </row>
    <row r="17">
      <c r="A17" s="7" t="inlineStr">
        <is>
          <t>Школа: принадлежности</t>
        </is>
      </c>
      <c r="B17" s="8" t="inlineStr">
        <is>
          <t>school_stuff</t>
        </is>
      </c>
      <c r="C17" s="8" t="inlineStr">
        <is>
          <t>direct</t>
        </is>
      </c>
      <c r="D17" s="19">
        <f>SUMIF('03_Каталоги'!$A$5:$A$230,B17,'03_Каталоги'!$L$5:$L$230)</f>
        <v/>
      </c>
      <c r="E17" s="19">
        <f>IF(D17=0,0,D17/MonthsYear)</f>
        <v/>
      </c>
    </row>
    <row r="18">
      <c r="A18" s="7" t="inlineStr">
        <is>
          <t>Школа: регулярные платежи</t>
        </is>
      </c>
      <c r="B18" s="8" t="inlineStr">
        <is>
          <t>school_reg</t>
        </is>
      </c>
      <c r="C18" s="8" t="inlineStr">
        <is>
          <t>direct</t>
        </is>
      </c>
      <c r="D18" s="19">
        <f>SUMIF('03_Каталоги'!$A$5:$A$230,B18,'03_Каталоги'!$L$5:$L$230)</f>
        <v/>
      </c>
      <c r="E18" s="19">
        <f>IF(D18=0,0,D18/MonthsYear)</f>
        <v/>
      </c>
    </row>
    <row r="19">
      <c r="A19" s="7" t="inlineStr">
        <is>
          <t>Школа: дополнительные расходы</t>
        </is>
      </c>
      <c r="B19" s="8" t="inlineStr">
        <is>
          <t>school_add</t>
        </is>
      </c>
      <c r="C19" s="8" t="inlineStr">
        <is>
          <t>direct</t>
        </is>
      </c>
      <c r="D19" s="19">
        <f>SUMIF('03_Каталоги'!$A$5:$A$230,B19,'03_Каталоги'!$L$5:$L$230)</f>
        <v/>
      </c>
      <c r="E19" s="19">
        <f>IF(D19=0,0,D19/MonthsYear)</f>
        <v/>
      </c>
    </row>
    <row r="20">
      <c r="A20" s="7" t="inlineStr">
        <is>
          <t>Дополнительное образование: обеспечение</t>
        </is>
      </c>
      <c r="B20" s="8" t="inlineStr">
        <is>
          <t>extra_buy</t>
        </is>
      </c>
      <c r="C20" s="8" t="inlineStr">
        <is>
          <t>direct</t>
        </is>
      </c>
      <c r="D20" s="19">
        <f>SUMIF('03_Каталоги'!$A$5:$A$230,B20,'03_Каталоги'!$L$5:$L$230)</f>
        <v/>
      </c>
      <c r="E20" s="19">
        <f>IF(D20=0,0,D20/MonthsYear)</f>
        <v/>
      </c>
    </row>
    <row r="21">
      <c r="A21" s="7" t="inlineStr">
        <is>
          <t>Дополнительное образование: платежи</t>
        </is>
      </c>
      <c r="B21" s="8" t="inlineStr">
        <is>
          <t>extra_pay</t>
        </is>
      </c>
      <c r="C21" s="8" t="inlineStr">
        <is>
          <t>direct</t>
        </is>
      </c>
      <c r="D21" s="19">
        <f>SUMIF('03_Каталоги'!$A$5:$A$230,B21,'03_Каталоги'!$L$5:$L$230)</f>
        <v/>
      </c>
      <c r="E21" s="19">
        <f>IF(D21=0,0,D21/MonthsYear)</f>
        <v/>
      </c>
    </row>
    <row r="22">
      <c r="A22" s="7" t="inlineStr">
        <is>
          <t>Лекарства</t>
        </is>
      </c>
      <c r="B22" s="8" t="inlineStr">
        <is>
          <t>health_pharm</t>
        </is>
      </c>
      <c r="C22" s="8" t="inlineStr">
        <is>
          <t>direct</t>
        </is>
      </c>
      <c r="D22" s="19">
        <f>SUMIF('03_Каталоги'!$A$5:$A$230,B22,'03_Каталоги'!$L$5:$L$230)</f>
        <v/>
      </c>
      <c r="E22" s="19">
        <f>IF(D22=0,0,D22/MonthsYear)</f>
        <v/>
      </c>
    </row>
    <row r="23">
      <c r="A23" s="7" t="inlineStr">
        <is>
          <t>Медицинские услуги</t>
        </is>
      </c>
      <c r="B23" s="8" t="inlineStr">
        <is>
          <t>health_serv</t>
        </is>
      </c>
      <c r="C23" s="8" t="inlineStr">
        <is>
          <t>direct</t>
        </is>
      </c>
      <c r="D23" s="19">
        <f>SUMIF('03_Каталоги'!$A$5:$A$230,B23,'03_Каталоги'!$L$5:$L$230)</f>
        <v/>
      </c>
      <c r="E23" s="19">
        <f>IF(D23=0,0,D23/MonthsYear)</f>
        <v/>
      </c>
    </row>
    <row r="24">
      <c r="A24" s="7" t="inlineStr">
        <is>
          <t>Карманные</t>
        </is>
      </c>
      <c r="B24" s="8" t="inlineStr">
        <is>
          <t>pocket</t>
        </is>
      </c>
      <c r="C24" s="8" t="inlineStr">
        <is>
          <t>direct</t>
        </is>
      </c>
      <c r="D24" s="19">
        <f>SUMIF('03_Каталоги'!$A$5:$A$230,B24,'03_Каталоги'!$L$5:$L$230)</f>
        <v/>
      </c>
      <c r="E24" s="19">
        <f>IF(D24=0,0,D24/MonthsYear)</f>
        <v/>
      </c>
    </row>
    <row r="25">
      <c r="A25" s="7" t="inlineStr">
        <is>
          <t>Связь</t>
        </is>
      </c>
      <c r="B25" s="8" t="inlineStr">
        <is>
          <t>equip_pay</t>
        </is>
      </c>
      <c r="C25" s="8" t="inlineStr">
        <is>
          <t>direct</t>
        </is>
      </c>
      <c r="D25" s="19">
        <f>SUMIF('03_Каталоги'!$A$5:$A$230,B25,'03_Каталоги'!$L$5:$L$230)</f>
        <v/>
      </c>
      <c r="E25" s="19">
        <f>IF(D25=0,0,D25/MonthsYear)</f>
        <v/>
      </c>
    </row>
    <row r="26">
      <c r="A26" s="7" t="inlineStr">
        <is>
          <t>Праздники</t>
        </is>
      </c>
      <c r="B26" s="8" t="inlineStr">
        <is>
          <t>holidays_pay</t>
        </is>
      </c>
      <c r="C26" s="8" t="inlineStr">
        <is>
          <t>direct</t>
        </is>
      </c>
      <c r="D26" s="19">
        <f>SUMIF('03_Каталоги'!$A$5:$A$230,B26,'03_Каталоги'!$L$5:$L$230)</f>
        <v/>
      </c>
      <c r="E26" s="19">
        <f>IF(D26=0,0,D26/MonthsYear)</f>
        <v/>
      </c>
    </row>
    <row r="27">
      <c r="A27" s="7" t="inlineStr">
        <is>
          <t>Хобби и развлечения</t>
        </is>
      </c>
      <c r="B27" s="8" t="inlineStr">
        <is>
          <t>sport_pay</t>
        </is>
      </c>
      <c r="C27" s="8" t="inlineStr">
        <is>
          <t>direct</t>
        </is>
      </c>
      <c r="D27" s="19">
        <f>SUMIF('03_Каталоги'!$A$5:$A$230,B27,'03_Каталоги'!$L$5:$L$230)</f>
        <v/>
      </c>
      <c r="E27" s="19">
        <f>IF(D27=0,0,D27/MonthsYear)</f>
        <v/>
      </c>
    </row>
    <row r="28">
      <c r="A28" s="7" t="inlineStr">
        <is>
          <t>Бытовая косметика</t>
        </is>
      </c>
      <c r="B28" s="8" t="inlineStr">
        <is>
          <t>household_cosmetics</t>
        </is>
      </c>
      <c r="C28" s="8" t="inlineStr">
        <is>
          <t>household</t>
        </is>
      </c>
      <c r="D28" s="19">
        <f>SUMIF('03_Каталоги'!$A$5:$A$230,B28,'03_Каталоги'!$L$5:$L$230)</f>
        <v/>
      </c>
      <c r="E28" s="19">
        <f>IF(D28=0,0,D28/MonthsYear)</f>
        <v/>
      </c>
    </row>
    <row r="29">
      <c r="A29" s="7" t="inlineStr">
        <is>
          <t>Бытовая посуда</t>
        </is>
      </c>
      <c r="B29" s="8" t="inlineStr">
        <is>
          <t>household_dishes</t>
        </is>
      </c>
      <c r="C29" s="8" t="inlineStr">
        <is>
          <t>household</t>
        </is>
      </c>
      <c r="D29" s="19">
        <f>SUMIF('03_Каталоги'!$A$5:$A$230,B29,'03_Каталоги'!$L$5:$L$230)</f>
        <v/>
      </c>
      <c r="E29" s="19">
        <f>IF(D29=0,0,D29/MonthsYear)</f>
        <v/>
      </c>
    </row>
    <row r="30">
      <c r="A30" s="7" t="inlineStr">
        <is>
          <t>Бытовая техника</t>
        </is>
      </c>
      <c r="B30" s="8" t="inlineStr">
        <is>
          <t>household_tech</t>
        </is>
      </c>
      <c r="C30" s="8" t="inlineStr">
        <is>
          <t>household</t>
        </is>
      </c>
      <c r="D30" s="19">
        <f>SUMIF('03_Каталоги'!$A$5:$A$230,B30,'03_Каталоги'!$L$5:$L$230)</f>
        <v/>
      </c>
      <c r="E30" s="19">
        <f>IF(D30=0,0,D30/MonthsYear)</f>
        <v/>
      </c>
    </row>
    <row r="31">
      <c r="A31" s="7" t="inlineStr">
        <is>
          <t>Мебель и хозяйство</t>
        </is>
      </c>
      <c r="B31" s="8" t="inlineStr">
        <is>
          <t>home_comfort</t>
        </is>
      </c>
      <c r="C31" s="8" t="inlineStr">
        <is>
          <t>household</t>
        </is>
      </c>
      <c r="D31" s="19">
        <f>SUMIF('03_Каталоги'!$A$5:$A$230,B31,'03_Каталоги'!$L$5:$L$230)</f>
        <v/>
      </c>
      <c r="E31" s="19">
        <f>IF(D31=0,0,D31/MonthsYear)</f>
        <v/>
      </c>
    </row>
    <row r="32">
      <c r="A32" s="7" t="inlineStr">
        <is>
          <t>Праздники</t>
        </is>
      </c>
      <c r="B32" s="8" t="inlineStr">
        <is>
          <t>holidays_buy</t>
        </is>
      </c>
      <c r="C32" s="8" t="inlineStr">
        <is>
          <t>household</t>
        </is>
      </c>
      <c r="D32" s="19">
        <f>SUMIF('03_Каталоги'!$A$5:$A$230,B32,'03_Каталоги'!$L$5:$L$230)</f>
        <v/>
      </c>
      <c r="E32" s="19">
        <f>IF(D32=0,0,D32/MonthsYear)</f>
        <v/>
      </c>
    </row>
    <row r="33">
      <c r="A33" s="7" t="inlineStr">
        <is>
          <t>Содержание жилья</t>
        </is>
      </c>
      <c r="B33" s="8" t="inlineStr">
        <is>
          <t>home_pay</t>
        </is>
      </c>
      <c r="C33" s="8" t="inlineStr">
        <is>
          <t>housing</t>
        </is>
      </c>
      <c r="D33" s="19">
        <f>SUMIF('03_Каталоги'!$A$5:$A$230,B33,'03_Каталоги'!$L$5:$L$230)</f>
        <v/>
      </c>
      <c r="E33" s="19">
        <f>IF(D33=0,0,D33/MonthsYear)</f>
        <v/>
      </c>
    </row>
    <row r="34">
      <c r="A34" s="7" t="inlineStr">
        <is>
          <t>Отдых и досуг</t>
        </is>
      </c>
      <c r="B34" s="8" t="inlineStr">
        <is>
          <t>leisure_shared</t>
        </is>
      </c>
      <c r="C34" s="8" t="inlineStr">
        <is>
          <t>trips</t>
        </is>
      </c>
      <c r="D34" s="19">
        <f>SUMIF('03_Каталоги'!$A$5:$A$230,B34,'03_Каталоги'!$L$5:$L$230)</f>
        <v/>
      </c>
      <c r="E34" s="19">
        <f>IF(D34=0,0,D34/MonthsYear)</f>
        <v/>
      </c>
    </row>
    <row r="35">
      <c r="A35" s="7" t="inlineStr">
        <is>
          <t>Транспорт</t>
        </is>
      </c>
      <c r="B35" s="8" t="inlineStr">
        <is>
          <t>transport_pay</t>
        </is>
      </c>
      <c r="C35" s="8" t="inlineStr">
        <is>
          <t>transport</t>
        </is>
      </c>
      <c r="D35" s="19">
        <f>SUMIF('03_Каталоги'!$A$5:$A$230,B35,'03_Каталоги'!$L$5:$L$230)</f>
        <v/>
      </c>
      <c r="E35" s="19">
        <f>IF(D35=0,0,D35/MonthsYear)</f>
        <v/>
      </c>
    </row>
    <row r="36">
      <c r="A36" s="3" t="inlineStr">
        <is>
          <t>ПОЛНОЕ СОДЕРЖАНИЕ</t>
        </is>
      </c>
      <c r="B36" s="3" t="n"/>
      <c r="C36" s="3" t="n"/>
      <c r="D36" s="20">
        <f>SUM(D6:D35)</f>
        <v/>
      </c>
      <c r="E36" s="20">
        <f>SUM(E6:E35)</f>
        <v/>
      </c>
    </row>
    <row r="38" ht="22" customHeight="1">
      <c r="A38" s="3" t="inlineStr">
        <is>
          <t>ЧАСТИ ЭКРАНА</t>
        </is>
      </c>
      <c r="B38" s="4" t="n"/>
      <c r="C38" s="4" t="n"/>
      <c r="D38" s="4" t="n"/>
      <c r="E38" s="4" t="n"/>
    </row>
    <row r="39">
      <c r="A39" s="5" t="inlineStr">
        <is>
          <t>Часть</t>
        </is>
      </c>
      <c r="B39" s="5" t="inlineStr">
        <is>
          <t>ID</t>
        </is>
      </c>
      <c r="C39" s="5" t="inlineStr">
        <is>
          <t>Состав</t>
        </is>
      </c>
      <c r="D39" s="5" t="inlineStr">
        <is>
          <t>Ребёнок в год, ₽</t>
        </is>
      </c>
      <c r="E39" s="5" t="inlineStr">
        <is>
          <t>Ребёнок в месяц, ₽</t>
        </is>
      </c>
    </row>
    <row r="40">
      <c r="A40" s="6" t="inlineStr">
        <is>
          <t>Образование и школа</t>
        </is>
      </c>
      <c r="B40" s="8" t="inlineStr">
        <is>
          <t>school</t>
        </is>
      </c>
      <c r="C40" s="7" t="inlineStr">
        <is>
          <t>school_ward; school_stuff; school_reg; school_add; extra_buy; extra_pay</t>
        </is>
      </c>
      <c r="D40" s="19">
        <f>SUMIF('03_Каталоги'!$A$5:$A$230,"school_ward",'03_Каталоги'!$L$5:$L$230)+SUMIF('03_Каталоги'!$A$5:$A$230,"school_stuff",'03_Каталоги'!$L$5:$L$230)+SUMIF('03_Каталоги'!$A$5:$A$230,"school_reg",'03_Каталоги'!$L$5:$L$230)+SUMIF('03_Каталоги'!$A$5:$A$230,"school_add",'03_Каталоги'!$L$5:$L$230)+SUMIF('03_Каталоги'!$A$5:$A$230,"extra_buy",'03_Каталоги'!$L$5:$L$230)+SUMIF('03_Каталоги'!$A$5:$A$230,"extra_pay",'03_Каталоги'!$L$5:$L$230)</f>
        <v/>
      </c>
      <c r="E40" s="19">
        <f>IF(D40=0,0,D40/MonthsYear)</f>
        <v/>
      </c>
    </row>
    <row r="41">
      <c r="A41" s="6" t="inlineStr">
        <is>
          <t>Гардероб</t>
        </is>
      </c>
      <c r="B41" s="8" t="inlineStr">
        <is>
          <t>wear</t>
        </is>
      </c>
      <c r="C41" s="7" t="inlineStr">
        <is>
          <t>underwear; layer2; outer; shoes; acc</t>
        </is>
      </c>
      <c r="D41" s="19">
        <f>SUMIF('03_Каталоги'!$A$5:$A$230,"underwear",'03_Каталоги'!$L$5:$L$230)+SUMIF('03_Каталоги'!$A$5:$A$230,"layer2",'03_Каталоги'!$L$5:$L$230)+SUMIF('03_Каталоги'!$A$5:$A$230,"outer",'03_Каталоги'!$L$5:$L$230)+SUMIF('03_Каталоги'!$A$5:$A$230,"shoes",'03_Каталоги'!$L$5:$L$230)+SUMIF('03_Каталоги'!$A$5:$A$230,"acc",'03_Каталоги'!$L$5:$L$230)</f>
        <v/>
      </c>
      <c r="E41" s="19">
        <f>IF(D41=0,0,D41/MonthsYear)</f>
        <v/>
      </c>
    </row>
    <row r="42">
      <c r="A42" s="6" t="inlineStr">
        <is>
          <t>Обустройство жилья</t>
        </is>
      </c>
      <c r="B42" s="8" t="inlineStr">
        <is>
          <t>home_setup</t>
        </is>
      </c>
      <c r="C42" s="7" t="inlineStr">
        <is>
          <t>room; equip</t>
        </is>
      </c>
      <c r="D42" s="19">
        <f>SUMIF('03_Каталоги'!$A$5:$A$230,"room",'03_Каталоги'!$L$5:$L$230)+SUMIF('03_Каталоги'!$A$5:$A$230,"equip",'03_Каталоги'!$L$5:$L$230)</f>
        <v/>
      </c>
      <c r="E42" s="19">
        <f>IF(D42=0,0,D42/MonthsYear)</f>
        <v/>
      </c>
    </row>
    <row r="43">
      <c r="A43" s="6" t="inlineStr">
        <is>
          <t>Здоровье</t>
        </is>
      </c>
      <c r="B43" s="8" t="inlineStr">
        <is>
          <t>health</t>
        </is>
      </c>
      <c r="C43" s="7" t="inlineStr">
        <is>
          <t>health_pharm; health_serv</t>
        </is>
      </c>
      <c r="D43" s="19">
        <f>SUMIF('03_Каталоги'!$A$5:$A$230,"health_pharm",'03_Каталоги'!$L$5:$L$230)+SUMIF('03_Каталоги'!$A$5:$A$230,"health_serv",'03_Каталоги'!$L$5:$L$230)</f>
        <v/>
      </c>
      <c r="E43" s="19">
        <f>IF(D43=0,0,D43/MonthsYear)</f>
        <v/>
      </c>
    </row>
    <row r="44">
      <c r="A44" s="6" t="inlineStr">
        <is>
          <t>Отдых и досуг</t>
        </is>
      </c>
      <c r="B44" s="8" t="inlineStr">
        <is>
          <t>leisure</t>
        </is>
      </c>
      <c r="C44" s="7" t="inlineStr">
        <is>
          <t>sport_buy; sport_pay; holidays_pay</t>
        </is>
      </c>
      <c r="D44" s="19">
        <f>SUMIF('03_Каталоги'!$A$5:$A$230,"sport_buy",'03_Каталоги'!$L$5:$L$230)+SUMIF('03_Каталоги'!$A$5:$A$230,"sport_pay",'03_Каталоги'!$L$5:$L$230)+SUMIF('03_Каталоги'!$A$5:$A$230,"holidays_pay",'03_Каталоги'!$L$5:$L$230)</f>
        <v/>
      </c>
      <c r="E44" s="19">
        <f>IF(D44=0,0,D44/MonthsYear)</f>
        <v/>
      </c>
    </row>
    <row r="45">
      <c r="A45" s="6" t="inlineStr">
        <is>
          <t>Другие расходы</t>
        </is>
      </c>
      <c r="B45" s="8" t="inlineStr">
        <is>
          <t>other</t>
        </is>
      </c>
      <c r="C45" s="7" t="inlineStr">
        <is>
          <t>food; personal_buy; pocket; equip_pay</t>
        </is>
      </c>
      <c r="D45" s="19">
        <f>SUMIF('03_Каталоги'!$A$5:$A$230,"food",'03_Каталоги'!$L$5:$L$230)+SUMIF('03_Каталоги'!$A$5:$A$230,"personal_buy",'03_Каталоги'!$L$5:$L$230)+SUMIF('03_Каталоги'!$A$5:$A$230,"pocket",'03_Каталоги'!$L$5:$L$230)+SUMIF('03_Каталоги'!$A$5:$A$230,"equip_pay",'03_Каталоги'!$L$5:$L$230)</f>
        <v/>
      </c>
      <c r="E45" s="19">
        <f>IF(D45=0,0,D45/MonthsYear)</f>
        <v/>
      </c>
    </row>
    <row r="46">
      <c r="A46" s="6" t="inlineStr">
        <is>
          <t>Общие расходы</t>
        </is>
      </c>
      <c r="B46" s="8" t="inlineStr">
        <is>
          <t>shared</t>
        </is>
      </c>
      <c r="C46" s="7" t="inlineStr">
        <is>
          <t>household_cosmetics; household_dishes; household_tech; home_comfort; holidays_buy; home_pay; leisure_shared; transport_pay</t>
        </is>
      </c>
      <c r="D46" s="19">
        <f>SUMIF('03_Каталоги'!$A$5:$A$230,"household_cosmetics",'03_Каталоги'!$L$5:$L$230)+SUMIF('03_Каталоги'!$A$5:$A$230,"household_dishes",'03_Каталоги'!$L$5:$L$230)+SUMIF('03_Каталоги'!$A$5:$A$230,"household_tech",'03_Каталоги'!$L$5:$L$230)+SUMIF('03_Каталоги'!$A$5:$A$230,"home_comfort",'03_Каталоги'!$L$5:$L$230)+SUMIF('03_Каталоги'!$A$5:$A$230,"holidays_buy",'03_Каталоги'!$L$5:$L$230)+SUMIF('03_Каталоги'!$A$5:$A$230,"home_pay",'03_Каталоги'!$L$5:$L$230)+SUMIF('03_Каталоги'!$A$5:$A$230,"leisure_shared",'03_Каталоги'!$L$5:$L$230)+SUMIF('03_Каталоги'!$A$5:$A$230,"transport_pay",'03_Каталоги'!$L$5:$L$230)</f>
        <v/>
      </c>
      <c r="E46" s="19">
        <f>IF(D46=0,0,D46/MonthsYear)</f>
        <v/>
      </c>
    </row>
    <row r="48" ht="22" customHeight="1">
      <c r="A48" s="3" t="inlineStr">
        <is>
          <t>ПРОВЕРКИ</t>
        </is>
      </c>
      <c r="B48" s="4" t="n"/>
      <c r="C48" s="4" t="n"/>
      <c r="D48" s="4" t="n"/>
      <c r="E48" s="4" t="n"/>
    </row>
    <row r="49">
      <c r="A49" s="6" t="inlineStr">
        <is>
          <t>Минимум (pack = direct)</t>
        </is>
      </c>
      <c r="D49" s="19">
        <f>SUMIF(C6:C35,"direct",D6:D35)</f>
        <v/>
      </c>
      <c r="E49" s="19">
        <f>D49/MonthsYear</f>
        <v/>
      </c>
    </row>
    <row r="50">
      <c r="A50" s="6" t="inlineStr">
        <is>
          <t>Школа за год (флаг school, без кружков)</t>
        </is>
      </c>
      <c r="D50" s="19">
        <f>SUMIF('03_Каталоги'!$A$5:$A$230,"school_ward",'03_Каталоги'!$L$5:$L$230)+SUMIF('03_Каталоги'!$A$5:$A$230,"school_stuff",'03_Каталоги'!$L$5:$L$230)+SUMIF('03_Каталоги'!$A$5:$A$230,"school_reg",'03_Каталоги'!$L$5:$L$230)+SUMIF('03_Каталоги'!$A$5:$A$230,"school_add",'03_Каталоги'!$L$5:$L$230)</f>
        <v/>
      </c>
      <c r="E50" s="19">
        <f>D50/MonthsYear</f>
        <v/>
      </c>
    </row>
  </sheetData>
  <autoFilter ref="A5:E35"/>
  <mergeCells count="6">
    <mergeCell ref="A36:C36"/>
    <mergeCell ref="A4:E4"/>
    <mergeCell ref="A48:E48"/>
    <mergeCell ref="A38:E38"/>
    <mergeCell ref="A2:E2"/>
    <mergeCell ref="A1:E1"/>
  </mergeCells>
  <pageMargins left="0.75" right="0.75" top="1" bottom="1" header="0.5" footer="0.5"/>
  <pageSetup orientation="landscape" paperSize="9" fitToHeight="0" fitToWidth="1"/>
  <headerFooter>
    <oddHeader/>
    <oddFooter>&amp;RСтраница &amp;P из &amp;N · Счётикс</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C18"/>
  <sheetViews>
    <sheetView showGridLines="0" workbookViewId="0">
      <pane ySplit="5" topLeftCell="A6" activePane="bottomLeft" state="frozen"/>
      <selection pane="bottomLeft" activeCell="A1" sqref="A1"/>
    </sheetView>
  </sheetViews>
  <sheetFormatPr baseColWidth="8" defaultRowHeight="15"/>
  <cols>
    <col width="28" customWidth="1" min="1" max="1"/>
    <col width="72" customWidth="1" min="2" max="2"/>
    <col width="44" customWidth="1" min="3" max="3"/>
  </cols>
  <sheetData>
    <row r="1" ht="22" customHeight="1">
      <c r="A1" s="1" t="inlineStr">
        <is>
          <t>06 · МЕТОДИКА — как из цены получается месяц</t>
        </is>
      </c>
    </row>
    <row r="2" ht="32" customHeight="1">
      <c r="A2" s="2" t="inlineStr">
        <is>
          <t>Одна цепочка. Те же правила в HTML и в формулах каталога.</t>
        </is>
      </c>
    </row>
    <row r="4" ht="22" customHeight="1">
      <c r="A4" s="3" t="inlineStr">
        <is>
          <t>ШАГИ</t>
        </is>
      </c>
      <c r="B4" s="4" t="n"/>
      <c r="C4" s="4" t="n"/>
    </row>
    <row r="5" ht="26" customHeight="1">
      <c r="A5" s="5" t="inlineStr">
        <is>
          <t>Шаг</t>
        </is>
      </c>
      <c r="B5" s="5" t="inlineStr">
        <is>
          <t>Что делаем</t>
        </is>
      </c>
      <c r="C5" s="5" t="inlineStr">
        <is>
          <t>Формула</t>
        </is>
      </c>
    </row>
    <row r="6" ht="28" customHeight="1">
      <c r="A6" s="6" t="inlineStr">
        <is>
          <t>1. Покупка или платёж</t>
        </is>
      </c>
      <c r="B6" s="7" t="inlineStr">
        <is>
          <t>Смотрим, заполнен ли срок службы в годах.</t>
        </is>
      </c>
      <c r="C6" s="8" t="inlineStr">
        <is>
          <t>years &gt; 0 ?</t>
        </is>
      </c>
    </row>
    <row r="7" ht="28" customHeight="1">
      <c r="A7" s="6" t="inlineStr">
        <is>
          <t>2a. Амортизация</t>
        </is>
      </c>
      <c r="B7" s="7" t="inlineStr">
        <is>
          <t>Вещь служит несколько лет — раскладываем стоимость.</t>
        </is>
      </c>
      <c r="C7" s="8" t="inlineStr">
        <is>
          <t>цена × кол-во ÷ лет</t>
        </is>
      </c>
    </row>
    <row r="8" ht="28" customHeight="1">
      <c r="A8" s="6" t="inlineStr">
        <is>
          <t>2b. Платёж</t>
        </is>
      </c>
      <c r="B8" s="7" t="inlineStr">
        <is>
          <t>Нет срока — берём период.</t>
        </is>
      </c>
      <c r="C8" s="8" t="inlineStr">
        <is>
          <t>неделя × 52, месяц × 12, год × 1</t>
        </is>
      </c>
    </row>
    <row r="9" ht="28" customHeight="1">
      <c r="A9" s="6" t="inlineStr">
        <is>
          <t>3. Семья в год</t>
        </is>
      </c>
      <c r="B9" s="7" t="inlineStr">
        <is>
          <t>Пока без деления. Это колонка K каталога.</t>
        </is>
      </c>
      <c r="C9" s="8" t="inlineStr">
        <is>
          <t>family_year</t>
        </is>
      </c>
    </row>
    <row r="10" ht="28" customHeight="1">
      <c r="A10" s="6" t="inlineStr">
        <is>
          <t>4. Доля ребёнка</t>
        </is>
      </c>
      <c r="B10" s="7" t="inlineStr">
        <is>
          <t>Индивидуальное не делим. Общее — на FamilySize.</t>
        </is>
      </c>
      <c r="C10" s="8" t="inlineStr">
        <is>
          <t>family_year ÷ split</t>
        </is>
      </c>
    </row>
    <row r="11" ht="28" customHeight="1">
      <c r="A11" s="6" t="inlineStr">
        <is>
          <t>5. В месяц</t>
        </is>
      </c>
      <c r="B11" s="7" t="inlineStr">
        <is>
          <t>Чтобы сравнивать разовое и регулярное.</t>
        </is>
      </c>
      <c r="C11" s="8" t="inlineStr">
        <is>
          <t>год ÷ 12</t>
        </is>
      </c>
    </row>
    <row r="12" ht="28" customHeight="1">
      <c r="A12" s="6" t="inlineStr">
        <is>
          <t>6. Минимум</t>
        </is>
      </c>
      <c r="B12" s="7" t="inlineStr">
        <is>
          <t>Складываем блоки с pack = direct.</t>
        </is>
      </c>
      <c r="C12" s="8" t="inlineStr">
        <is>
          <t>SUMIF pack=direct</t>
        </is>
      </c>
    </row>
    <row r="13" ht="28" customHeight="1">
      <c r="A13" s="6" t="inlineStr">
        <is>
          <t>7. Полное</t>
        </is>
      </c>
      <c r="B13" s="7" t="inlineStr">
        <is>
          <t>Все блоки, включая жильё, транспорт, быт, поездки.</t>
        </is>
      </c>
      <c r="C13" s="8" t="inlineStr">
        <is>
          <t>SUM всех child_year</t>
        </is>
      </c>
    </row>
    <row r="14" ht="28" customHeight="1">
      <c r="A14" s="6" t="inlineStr">
        <is>
          <t>8. Школа</t>
        </is>
      </c>
      <c r="B14" s="7" t="inlineStr">
        <is>
          <t>Только блоки с флагом school. Без кружков и секций.</t>
        </is>
      </c>
      <c r="C14" s="8" t="inlineStr">
        <is>
          <t>school_ward + stuff + reg + add</t>
        </is>
      </c>
    </row>
    <row r="16" ht="22" customHeight="1">
      <c r="A16" s="3" t="inlineStr">
        <is>
          <t>ЧТО НЕ ВХОДИТ</t>
        </is>
      </c>
      <c r="B16" s="4" t="n"/>
      <c r="C16" s="4" t="n"/>
    </row>
    <row r="17">
      <c r="A17" s="7" t="inlineStr">
        <is>
          <t>Чужое</t>
        </is>
      </c>
      <c r="B17" s="7" t="inlineStr">
        <is>
          <t>Вещи, продукты и одежда только для других членов семьи.</t>
        </is>
      </c>
    </row>
    <row r="18">
      <c r="A18" s="7" t="inlineStr">
        <is>
          <t>Долги</t>
        </is>
      </c>
      <c r="B18" s="7" t="inlineStr">
        <is>
          <t>Платежи по кредитам в расчёт не берутся.</t>
        </is>
      </c>
    </row>
  </sheetData>
  <autoFilter ref="A5:C5"/>
  <mergeCells count="6">
    <mergeCell ref="A1:C1"/>
    <mergeCell ref="A16:C16"/>
    <mergeCell ref="B17:C17"/>
    <mergeCell ref="B18:C18"/>
    <mergeCell ref="A4:C4"/>
    <mergeCell ref="A2:C2"/>
  </mergeCells>
  <pageMargins left="0.75" right="0.75" top="1" bottom="1" header="0.5" footer="0.5"/>
  <pageSetup orientation="portrait" paperSize="9" fitToHeight="0" fitToWidth="1"/>
  <headerFooter>
    <oddHeader/>
    <oddFooter>&amp;RСтраница &amp;P из &amp;N · Счётикс</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D13"/>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88" customWidth="1" min="3" max="3"/>
    <col width="28" customWidth="1" min="4" max="4"/>
  </cols>
  <sheetData>
    <row r="1" ht="22" customHeight="1">
      <c r="A1" s="1" t="inlineStr">
        <is>
          <t>07 · ТЕКСТЫ — надписи калькулятора</t>
        </is>
      </c>
    </row>
    <row r="2" ht="32" customHeight="1">
      <c r="A2" s="2" t="inlineStr">
        <is>
          <t>Колонка «Где» — поверхность. Есть автофильтр.</t>
        </is>
      </c>
    </row>
    <row r="4" ht="26" customHeight="1">
      <c r="A4" s="5" t="inlineStr">
        <is>
          <t>ID</t>
        </is>
      </c>
      <c r="B4" s="5" t="inlineStr">
        <is>
          <t>Где</t>
        </is>
      </c>
      <c r="C4" s="5" t="inlineStr">
        <is>
          <t>Текст</t>
        </is>
      </c>
      <c r="D4" s="5" t="inlineStr">
        <is>
          <t>Комментарий</t>
        </is>
      </c>
    </row>
    <row r="5" ht="28" customHeight="1">
      <c r="A5" s="8" t="inlineStr">
        <is>
          <t>h1_01</t>
        </is>
      </c>
      <c r="B5" s="7" t="inlineStr">
        <is>
          <t>форма</t>
        </is>
      </c>
      <c r="C5" s="7" t="inlineStr">
        <is>
          <t>Сколько стоит содержать ребёнка</t>
        </is>
      </c>
      <c r="D5" s="7" t="inlineStr">
        <is>
          <t>заголовок</t>
        </is>
      </c>
    </row>
    <row r="6" ht="28" customHeight="1">
      <c r="A6" s="8" t="inlineStr">
        <is>
          <t>bt_01</t>
        </is>
      </c>
      <c r="B6" s="7" t="inlineStr">
        <is>
          <t>форма</t>
        </is>
      </c>
      <c r="C6" s="7" t="inlineStr">
        <is>
          <t>счетикс</t>
        </is>
      </c>
      <c r="D6" s="7" t="inlineStr">
        <is>
          <t>слово знака</t>
        </is>
      </c>
    </row>
    <row r="7" ht="28" customHeight="1">
      <c r="A7" s="8" t="inlineStr">
        <is>
          <t>bt_02</t>
        </is>
      </c>
      <c r="B7" s="7" t="inlineStr">
        <is>
          <t>форма</t>
        </is>
      </c>
      <c r="C7" s="7" t="inlineStr">
        <is>
          <t>твоя юнит-экономика</t>
        </is>
      </c>
      <c r="D7" s="7" t="inlineStr">
        <is>
          <t>подпись знака</t>
        </is>
      </c>
    </row>
    <row r="8" ht="28" customHeight="1">
      <c r="A8" s="8" t="inlineStr">
        <is>
          <t>sub_01</t>
        </is>
      </c>
      <c r="B8" s="7" t="inlineStr">
        <is>
          <t>форма</t>
        </is>
      </c>
      <c r="C8" s="7" t="inlineStr">
        <is>
          <t>Калькулятор считает прямые траты на ребёнка и его долю в общих расходах семьи. Цифры можно менять — итог пересчитается сразу.</t>
        </is>
      </c>
      <c r="D8" s="7" t="inlineStr">
        <is>
          <t>лид</t>
        </is>
      </c>
    </row>
    <row r="9" ht="28" customHeight="1">
      <c r="A9" s="8" t="inlineStr">
        <is>
          <t>rlb_01</t>
        </is>
      </c>
      <c r="B9" s="7" t="inlineStr">
        <is>
          <t>форма</t>
        </is>
      </c>
      <c r="C9" s="7" t="inlineStr">
        <is>
          <t>Полное содержание одного ребёнка</t>
        </is>
      </c>
      <c r="D9" s="7" t="inlineStr">
        <is>
          <t>подпись hero</t>
        </is>
      </c>
    </row>
    <row r="10" ht="28" customHeight="1">
      <c r="A10" s="8" t="inlineStr">
        <is>
          <t>h2_01</t>
        </is>
      </c>
      <c r="B10" s="7" t="inlineStr">
        <is>
          <t>форма</t>
        </is>
      </c>
      <c r="C10" s="7" t="inlineStr">
        <is>
          <t>Куда уходят деньги</t>
        </is>
      </c>
      <c r="D10" s="7" t="inlineStr">
        <is>
          <t>карточка 01</t>
        </is>
      </c>
    </row>
    <row r="11" ht="28" customHeight="1">
      <c r="A11" s="8" t="inlineStr">
        <is>
          <t>hint_01</t>
        </is>
      </c>
      <c r="B11" s="7" t="inlineStr">
        <is>
          <t>форма</t>
        </is>
      </c>
      <c r="C11" s="7" t="inlineStr">
        <is>
          <t>Расходы на ребёнка в месяц. Нажмите «+», чтобы раскрыть группу, или название — чтобы перейти к строкам.</t>
        </is>
      </c>
      <c r="D11" s="7" t="inlineStr">
        <is>
          <t>подсказка диаграммы</t>
        </is>
      </c>
    </row>
    <row r="12" ht="28" customHeight="1">
      <c r="A12" s="8" t="inlineStr">
        <is>
          <t>h2_02</t>
        </is>
      </c>
      <c r="B12" s="7" t="inlineStr">
        <is>
          <t>форма</t>
        </is>
      </c>
      <c r="C12" s="7" t="inlineStr">
        <is>
          <t>Как мы считаем</t>
        </is>
      </c>
      <c r="D12" s="7" t="inlineStr">
        <is>
          <t>карточка 02</t>
        </is>
      </c>
    </row>
    <row r="13" ht="28" customHeight="1">
      <c r="A13" s="8" t="inlineStr">
        <is>
          <t>how_01</t>
        </is>
      </c>
      <c r="B13" s="7" t="inlineStr">
        <is>
          <t>форма</t>
        </is>
      </c>
      <c r="C13" s="7" t="inlineStr">
        <is>
          <t>В расчёте учитываются все расходы на содержание ребёнка — и те, что идут только на него, и его доля в общих тратах семьи.</t>
        </is>
      </c>
      <c r="D13" s="7" t="inlineStr">
        <is>
          <t>ввод методики</t>
        </is>
      </c>
    </row>
  </sheetData>
  <autoFilter ref="A4:D13"/>
  <mergeCells count="2">
    <mergeCell ref="A1:D1"/>
    <mergeCell ref="A2:D2"/>
  </mergeCells>
  <pageMargins left="0.75" right="0.75" top="1" bottom="1" header="0.5" footer="0.5"/>
  <pageSetup orientation="portrait" paperSize="9" fitToHeight="0" fitToWidth="1"/>
  <headerFooter>
    <oddHeader/>
    <oddFooter>&amp;RСтраница &amp;P из &amp;N · Счётикс</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D39"/>
  <sheetViews>
    <sheetView showGridLines="0" workbookViewId="0">
      <pane ySplit="4" topLeftCell="A5" activePane="bottomLeft" state="frozen"/>
      <selection pane="bottomLeft" activeCell="A1" sqref="A1"/>
    </sheetView>
  </sheetViews>
  <sheetFormatPr baseColWidth="8" defaultRowHeight="15"/>
  <cols>
    <col width="16" customWidth="1" min="1" max="1"/>
    <col width="12" customWidth="1" min="2" max="2"/>
    <col width="14" customWidth="1" min="3" max="3"/>
    <col width="40" customWidth="1" min="4" max="4"/>
  </cols>
  <sheetData>
    <row r="1" ht="22" customHeight="1">
      <c r="A1" s="1" t="inlineStr">
        <is>
          <t>08 · ПАЛИТРА — единая со Счётикс</t>
        </is>
      </c>
    </row>
    <row r="2" ht="32" customHeight="1">
      <c r="A2" s="2" t="inlineStr">
        <is>
          <t>Те же токены, что у калькулятора фотографа. Менять цвет — здесь и в каркасе одновременно.</t>
        </is>
      </c>
    </row>
    <row r="4" ht="26" customHeight="1">
      <c r="A4" s="5" t="inlineStr">
        <is>
          <t>Токен CSS</t>
        </is>
      </c>
      <c r="B4" s="5" t="inlineStr">
        <is>
          <t>HEX</t>
        </is>
      </c>
      <c r="C4" s="5" t="inlineStr">
        <is>
          <t>Образец</t>
        </is>
      </c>
      <c r="D4" s="5" t="inlineStr">
        <is>
          <t>Где применяется</t>
        </is>
      </c>
    </row>
    <row r="5" ht="22" customHeight="1">
      <c r="A5" s="3" t="inlineStr">
        <is>
          <t>Нейтральные · текст и линии</t>
        </is>
      </c>
      <c r="B5" s="4" t="n"/>
      <c r="C5" s="4" t="n"/>
      <c r="D5" s="4" t="n"/>
    </row>
    <row r="6">
      <c r="A6" s="8" t="inlineStr">
        <is>
          <t>--c-ink</t>
        </is>
      </c>
      <c r="B6" s="8" t="inlineStr">
        <is>
          <t>#1A1A1A</t>
        </is>
      </c>
      <c r="C6" s="21" t="inlineStr"/>
      <c r="D6" s="7" t="inlineStr">
        <is>
          <t>основной текст</t>
        </is>
      </c>
    </row>
    <row r="7">
      <c r="A7" s="8" t="inlineStr">
        <is>
          <t>--c-ink2</t>
        </is>
      </c>
      <c r="B7" s="8" t="inlineStr">
        <is>
          <t>#374151</t>
        </is>
      </c>
      <c r="C7" s="22" t="inlineStr"/>
      <c r="D7" s="7" t="inlineStr">
        <is>
          <t>заголовки таблиц</t>
        </is>
      </c>
    </row>
    <row r="8">
      <c r="A8" s="8" t="inlineStr">
        <is>
          <t>--c-ink3</t>
        </is>
      </c>
      <c r="B8" s="8" t="inlineStr">
        <is>
          <t>#4B5563</t>
        </is>
      </c>
      <c r="C8" s="23" t="inlineStr"/>
      <c r="D8" s="7" t="inlineStr">
        <is>
          <t>вторичный текст</t>
        </is>
      </c>
    </row>
    <row r="9">
      <c r="A9" s="8" t="inlineStr">
        <is>
          <t>--c-gr</t>
        </is>
      </c>
      <c r="B9" s="8" t="inlineStr">
        <is>
          <t>#6B7280</t>
        </is>
      </c>
      <c r="C9" s="24" t="inlineStr"/>
      <c r="D9" s="7" t="inlineStr">
        <is>
          <t>подписи</t>
        </is>
      </c>
    </row>
    <row r="10">
      <c r="A10" s="8" t="inlineStr">
        <is>
          <t>--c-gr2</t>
        </is>
      </c>
      <c r="B10" s="8" t="inlineStr">
        <is>
          <t>#9CA3AF</t>
        </is>
      </c>
      <c r="C10" s="25" t="inlineStr"/>
      <c r="D10" s="7" t="inlineStr">
        <is>
          <t>мелкие подписи</t>
        </is>
      </c>
    </row>
    <row r="11">
      <c r="A11" s="8" t="inlineStr">
        <is>
          <t>--c-gr3</t>
        </is>
      </c>
      <c r="B11" s="8" t="inlineStr">
        <is>
          <t>#B6BCC4</t>
        </is>
      </c>
      <c r="C11" s="26" t="inlineStr"/>
      <c r="D11" s="7" t="inlineStr">
        <is>
          <t>самый светлый текст</t>
        </is>
      </c>
    </row>
    <row r="12">
      <c r="A12" s="8" t="inlineStr">
        <is>
          <t>--c-ln</t>
        </is>
      </c>
      <c r="B12" s="8" t="inlineStr">
        <is>
          <t>#E5E7EB</t>
        </is>
      </c>
      <c r="C12" s="27" t="inlineStr"/>
      <c r="D12" s="7" t="inlineStr">
        <is>
          <t>линии и границы</t>
        </is>
      </c>
    </row>
    <row r="13">
      <c r="A13" s="8" t="inlineStr">
        <is>
          <t>--c-ln2</t>
        </is>
      </c>
      <c r="B13" s="8" t="inlineStr">
        <is>
          <t>#F0F2F5</t>
        </is>
      </c>
      <c r="C13" s="28" t="inlineStr"/>
      <c r="D13" s="7" t="inlineStr">
        <is>
          <t>светлые разделители</t>
        </is>
      </c>
    </row>
    <row r="14" ht="22" customHeight="1">
      <c r="A14" s="3" t="inlineStr">
        <is>
          <t>Нейтральные · фоны</t>
        </is>
      </c>
      <c r="B14" s="4" t="n"/>
      <c r="C14" s="4" t="n"/>
      <c r="D14" s="4" t="n"/>
    </row>
    <row r="15">
      <c r="A15" s="8" t="inlineStr">
        <is>
          <t>--c-bg</t>
        </is>
      </c>
      <c r="B15" s="8" t="inlineStr">
        <is>
          <t>#F5F6F8</t>
        </is>
      </c>
      <c r="C15" s="29" t="inlineStr"/>
      <c r="D15" s="7" t="inlineStr">
        <is>
          <t>фон страницы</t>
        </is>
      </c>
    </row>
    <row r="16">
      <c r="A16" s="8" t="inlineStr">
        <is>
          <t>--c-surf</t>
        </is>
      </c>
      <c r="B16" s="8" t="inlineStr">
        <is>
          <t>#FAFBFC</t>
        </is>
      </c>
      <c r="C16" s="30" t="inlineStr"/>
      <c r="D16" s="7" t="inlineStr">
        <is>
          <t>фон подложек</t>
        </is>
      </c>
    </row>
    <row r="17">
      <c r="A17" s="8" t="inlineStr">
        <is>
          <t>--c-white</t>
        </is>
      </c>
      <c r="B17" s="8" t="inlineStr">
        <is>
          <t>#FFFFFF</t>
        </is>
      </c>
      <c r="C17" s="31" t="inlineStr"/>
      <c r="D17" s="7" t="inlineStr">
        <is>
          <t>фон карточек</t>
        </is>
      </c>
    </row>
    <row r="18" ht="22" customHeight="1">
      <c r="A18" s="3" t="inlineStr">
        <is>
          <t>Зелёный · бренд Счётикс</t>
        </is>
      </c>
      <c r="B18" s="4" t="n"/>
      <c r="C18" s="4" t="n"/>
      <c r="D18" s="4" t="n"/>
    </row>
    <row r="19">
      <c r="A19" s="8" t="inlineStr">
        <is>
          <t>--c-g-50</t>
        </is>
      </c>
      <c r="B19" s="8" t="inlineStr">
        <is>
          <t>#F5FBF7</t>
        </is>
      </c>
      <c r="C19" s="32" t="inlineStr"/>
      <c r="D19" s="7" t="inlineStr">
        <is>
          <t>самый светлый зелёный фон</t>
        </is>
      </c>
    </row>
    <row r="20">
      <c r="A20" s="8" t="inlineStr">
        <is>
          <t>--c-g-100</t>
        </is>
      </c>
      <c r="B20" s="8" t="inlineStr">
        <is>
          <t>#EAF6EE</t>
        </is>
      </c>
      <c r="C20" s="33" t="inlineStr"/>
      <c r="D20" s="7" t="inlineStr">
        <is>
          <t>фон зелёных плашек</t>
        </is>
      </c>
    </row>
    <row r="21">
      <c r="A21" s="8" t="inlineStr">
        <is>
          <t>--c-g-200</t>
        </is>
      </c>
      <c r="B21" s="8" t="inlineStr">
        <is>
          <t>#D8EEDF</t>
        </is>
      </c>
      <c r="C21" s="34" t="inlineStr"/>
      <c r="D21" s="7" t="inlineStr">
        <is>
          <t>рамки</t>
        </is>
      </c>
    </row>
    <row r="22">
      <c r="A22" s="8" t="inlineStr">
        <is>
          <t>--c-g-300</t>
        </is>
      </c>
      <c r="B22" s="8" t="inlineStr">
        <is>
          <t>#A9DDB8</t>
        </is>
      </c>
      <c r="C22" s="35" t="inlineStr"/>
      <c r="D22" s="7" t="inlineStr">
        <is>
          <t>сегменты</t>
        </is>
      </c>
    </row>
    <row r="23">
      <c r="A23" s="8" t="inlineStr">
        <is>
          <t>--c-g-350</t>
        </is>
      </c>
      <c r="B23" s="8" t="inlineStr">
        <is>
          <t>#6FD183</t>
        </is>
      </c>
      <c r="C23" s="36" t="inlineStr"/>
      <c r="D23" s="7" t="inlineStr">
        <is>
          <t>градиент полоски</t>
        </is>
      </c>
    </row>
    <row r="24">
      <c r="A24" s="8" t="inlineStr">
        <is>
          <t>--c-g-400</t>
        </is>
      </c>
      <c r="B24" s="8" t="inlineStr">
        <is>
          <t>#4FC26A</t>
        </is>
      </c>
      <c r="C24" s="37" t="inlineStr"/>
      <c r="D24" s="7" t="inlineStr">
        <is>
          <t>градиенты</t>
        </is>
      </c>
    </row>
    <row r="25">
      <c r="A25" s="8" t="inlineStr">
        <is>
          <t>--c-g-500</t>
        </is>
      </c>
      <c r="B25" s="8" t="inlineStr">
        <is>
          <t>#21A038</t>
        </is>
      </c>
      <c r="C25" s="38" t="inlineStr"/>
      <c r="D25" s="7" t="inlineStr">
        <is>
          <t>основной зелёный бренда</t>
        </is>
      </c>
    </row>
    <row r="26">
      <c r="A26" s="8" t="inlineStr">
        <is>
          <t>--c-g-600</t>
        </is>
      </c>
      <c r="B26" s="8" t="inlineStr">
        <is>
          <t>#1B9331</t>
        </is>
      </c>
      <c r="C26" s="39" t="inlineStr"/>
      <c r="D26" s="7" t="inlineStr">
        <is>
          <t>кнопки</t>
        </is>
      </c>
    </row>
    <row r="27">
      <c r="A27" s="8" t="inlineStr">
        <is>
          <t>--c-g-700</t>
        </is>
      </c>
      <c r="B27" s="8" t="inlineStr">
        <is>
          <t>#158026</t>
        </is>
      </c>
      <c r="C27" s="40" t="inlineStr"/>
      <c r="D27" s="7" t="inlineStr">
        <is>
          <t>акцентные цифры</t>
        </is>
      </c>
    </row>
    <row r="28">
      <c r="A28" s="8" t="inlineStr">
        <is>
          <t>--c-g-800</t>
        </is>
      </c>
      <c r="B28" s="8" t="inlineStr">
        <is>
          <t>#0B6B22</t>
        </is>
      </c>
      <c r="C28" s="41" t="inlineStr"/>
      <c r="D28" s="7" t="inlineStr">
        <is>
          <t>тёмный градиент hero</t>
        </is>
      </c>
    </row>
    <row r="29">
      <c r="A29" s="8" t="inlineStr">
        <is>
          <t>--c-g-900</t>
        </is>
      </c>
      <c r="B29" s="8" t="inlineStr">
        <is>
          <t>#14532D</t>
        </is>
      </c>
      <c r="C29" s="42" t="inlineStr"/>
      <c r="D29" s="7" t="inlineStr">
        <is>
          <t>текст на зелёном</t>
        </is>
      </c>
    </row>
    <row r="30" ht="22" customHeight="1">
      <c r="A30" s="3" t="inlineStr">
        <is>
          <t>Красный · удаление, сброс</t>
        </is>
      </c>
      <c r="B30" s="4" t="n"/>
      <c r="C30" s="4" t="n"/>
      <c r="D30" s="4" t="n"/>
    </row>
    <row r="31">
      <c r="A31" s="8" t="inlineStr">
        <is>
          <t>--c-r-50</t>
        </is>
      </c>
      <c r="B31" s="8" t="inlineStr">
        <is>
          <t>#FFF6F6</t>
        </is>
      </c>
      <c r="C31" s="43" t="inlineStr"/>
      <c r="D31" s="7" t="inlineStr">
        <is>
          <t>фон</t>
        </is>
      </c>
    </row>
    <row r="32">
      <c r="A32" s="8" t="inlineStr">
        <is>
          <t>--c-r-500</t>
        </is>
      </c>
      <c r="B32" s="8" t="inlineStr">
        <is>
          <t>#EF4444</t>
        </is>
      </c>
      <c r="C32" s="44" t="inlineStr"/>
      <c r="D32" s="7" t="inlineStr">
        <is>
          <t>ошибка</t>
        </is>
      </c>
    </row>
    <row r="33">
      <c r="A33" s="8" t="inlineStr">
        <is>
          <t>--c-r-700</t>
        </is>
      </c>
      <c r="B33" s="8" t="inlineStr">
        <is>
          <t>#B91C1C</t>
        </is>
      </c>
      <c r="C33" s="45" t="inlineStr"/>
      <c r="D33" s="7" t="inlineStr">
        <is>
          <t>кнопка сброса</t>
        </is>
      </c>
    </row>
    <row r="34" ht="22" customHeight="1">
      <c r="A34" s="3" t="inlineStr">
        <is>
          <t>Янтарный · ввод в книге</t>
        </is>
      </c>
      <c r="B34" s="4" t="n"/>
      <c r="C34" s="4" t="n"/>
      <c r="D34" s="4" t="n"/>
    </row>
    <row r="35">
      <c r="A35" s="8" t="inlineStr">
        <is>
          <t>--c-a-50</t>
        </is>
      </c>
      <c r="B35" s="8" t="inlineStr">
        <is>
          <t>#FFFBEF</t>
        </is>
      </c>
      <c r="C35" s="46" t="inlineStr"/>
      <c r="D35" s="7" t="inlineStr">
        <is>
          <t>фон</t>
        </is>
      </c>
    </row>
    <row r="36">
      <c r="A36" s="8" t="inlineStr">
        <is>
          <t>--c-a-100</t>
        </is>
      </c>
      <c r="B36" s="8" t="inlineStr">
        <is>
          <t>#FEF3D6</t>
        </is>
      </c>
      <c r="C36" s="47" t="inlineStr"/>
      <c r="D36" s="7" t="inlineStr">
        <is>
          <t>жёлтое = ввод (Excel)</t>
        </is>
      </c>
    </row>
    <row r="37" ht="22" customHeight="1">
      <c r="A37" s="3" t="inlineStr">
        <is>
          <t>Синий · вторые полоски</t>
        </is>
      </c>
      <c r="B37" s="4" t="n"/>
      <c r="C37" s="4" t="n"/>
      <c r="D37" s="4" t="n"/>
    </row>
    <row r="38">
      <c r="A38" s="8" t="inlineStr">
        <is>
          <t>--c-b-400</t>
        </is>
      </c>
      <c r="B38" s="8" t="inlineStr">
        <is>
          <t>#5CA8E0</t>
        </is>
      </c>
      <c r="C38" s="48" t="inlineStr"/>
      <c r="D38" s="7" t="inlineStr">
        <is>
          <t>полоска группы</t>
        </is>
      </c>
    </row>
    <row r="39">
      <c r="A39" s="8" t="inlineStr">
        <is>
          <t>--c-b-500</t>
        </is>
      </c>
      <c r="B39" s="8" t="inlineStr">
        <is>
          <t>#3B82F6</t>
        </is>
      </c>
      <c r="C39" s="49" t="inlineStr"/>
      <c r="D39" s="7" t="inlineStr">
        <is>
          <t>акцент</t>
        </is>
      </c>
    </row>
  </sheetData>
  <autoFilter ref="A4:D4"/>
  <mergeCells count="8">
    <mergeCell ref="A1:D1"/>
    <mergeCell ref="A5:D5"/>
    <mergeCell ref="A18:D18"/>
    <mergeCell ref="A37:D37"/>
    <mergeCell ref="A34:D34"/>
    <mergeCell ref="A30:D30"/>
    <mergeCell ref="A2:D2"/>
    <mergeCell ref="A14:D14"/>
  </mergeCells>
  <pageMargins left="0.75" right="0.75" top="1" bottom="1" header="0.5" footer="0.5"/>
  <pageSetup orientation="portrait" paperSize="9" fitToHeight="0" fitToWidth="1"/>
  <headerFooter>
    <oddHeader/>
    <oddFooter>&amp;RСтраница &amp;P из &amp;N · Счётикс</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25"/>
  <sheetViews>
    <sheetView showGridLines="0" workbookViewId="0">
      <pane ySplit="5" topLeftCell="A6" activePane="bottomLeft" state="frozen"/>
      <selection pane="bottomLeft" activeCell="A1" sqref="A1"/>
    </sheetView>
  </sheetViews>
  <sheetFormatPr baseColWidth="8" defaultRowHeight="15"/>
  <cols>
    <col width="10" customWidth="1" min="1" max="1"/>
    <col width="36" customWidth="1" min="2" max="2"/>
    <col width="72" customWidth="1" min="3" max="3"/>
    <col width="36" customWidth="1" min="4" max="4"/>
  </cols>
  <sheetData>
    <row r="1" ht="22" customHeight="1">
      <c r="A1" s="1" t="inlineStr">
        <is>
          <t>09 · ИНТЕРФЕЙС — что на экране и в каком порядке</t>
        </is>
      </c>
    </row>
    <row r="2" ht="32" customHeight="1">
      <c r="A2" s="2" t="inlineStr">
        <is>
          <t>Карточки сверху вниз. 01 и 02 — всегда открыты. Части 03+ сворачиваются.</t>
        </is>
      </c>
    </row>
    <row r="4" ht="22" customHeight="1">
      <c r="A4" s="3" t="inlineStr">
        <is>
          <t>КАРТОЧКИ</t>
        </is>
      </c>
      <c r="B4" s="4" t="n"/>
      <c r="C4" s="4" t="n"/>
      <c r="D4" s="4" t="n"/>
    </row>
    <row r="5" ht="26" customHeight="1">
      <c r="A5" s="5" t="inlineStr">
        <is>
          <t>№</t>
        </is>
      </c>
      <c r="B5" s="5" t="inlineStr">
        <is>
          <t>Карточка</t>
        </is>
      </c>
      <c r="C5" s="5" t="inlineStr">
        <is>
          <t>Содержание</t>
        </is>
      </c>
      <c r="D5" s="5" t="inlineStr">
        <is>
          <t>Поведение</t>
        </is>
      </c>
    </row>
    <row r="6">
      <c r="A6" s="8" t="inlineStr">
        <is>
          <t>01</t>
        </is>
      </c>
      <c r="B6" s="6" t="inlineStr">
        <is>
          <t>Куда уходят деньги</t>
        </is>
      </c>
      <c r="C6" s="7" t="inlineStr">
        <is>
          <t>Полоски по группам диаграммы</t>
        </is>
      </c>
      <c r="D6" s="7" t="inlineStr">
        <is>
          <t>плюс раскрывает состав группы</t>
        </is>
      </c>
    </row>
    <row r="7">
      <c r="A7" s="8" t="inlineStr">
        <is>
          <t>02</t>
        </is>
      </c>
      <c r="B7" s="6" t="inlineStr">
        <is>
          <t>Как мы считаем</t>
        </is>
      </c>
      <c r="C7" s="7" t="inlineStr">
        <is>
          <t>Методика, членов семьи, печать и сброс</t>
        </is>
      </c>
      <c r="D7" s="7" t="inlineStr">
        <is>
          <t>спойлеры + параметр FamilySize</t>
        </is>
      </c>
    </row>
    <row r="8" ht="22" customHeight="1">
      <c r="A8" s="3" t="inlineStr">
        <is>
          <t>ЧАСТИ — с 03</t>
        </is>
      </c>
      <c r="B8" s="4" t="n"/>
      <c r="C8" s="4" t="n"/>
      <c r="D8" s="4" t="n"/>
    </row>
    <row r="9">
      <c r="A9" s="5" t="inlineStr">
        <is>
          <t>№</t>
        </is>
      </c>
      <c r="B9" s="5" t="inlineStr">
        <is>
          <t>Часть</t>
        </is>
      </c>
      <c r="C9" s="5" t="inlineStr">
        <is>
          <t>Блоки</t>
        </is>
      </c>
      <c r="D9" s="5" t="inlineStr">
        <is>
          <t>Заметка</t>
        </is>
      </c>
    </row>
    <row r="10" ht="28" customHeight="1">
      <c r="A10" s="8" t="inlineStr">
        <is>
          <t>03</t>
        </is>
      </c>
      <c r="B10" s="6" t="inlineStr">
        <is>
          <t>Образование и школа</t>
        </is>
      </c>
      <c r="C10" s="7" t="inlineStr">
        <is>
          <t>school_ward, school_stuff, school_reg, school_add, extra_buy, extra_pay</t>
        </is>
      </c>
      <c r="D10" s="7" t="inlineStr"/>
    </row>
    <row r="11" ht="28" customHeight="1">
      <c r="A11" s="8" t="inlineStr">
        <is>
          <t>04</t>
        </is>
      </c>
      <c r="B11" s="6" t="inlineStr">
        <is>
          <t>Гардероб</t>
        </is>
      </c>
      <c r="C11" s="7" t="inlineStr">
        <is>
          <t>underwear, layer2, outer, shoes, acc</t>
        </is>
      </c>
      <c r="D11" s="7" t="inlineStr"/>
    </row>
    <row r="12" ht="28" customHeight="1">
      <c r="A12" s="8" t="inlineStr">
        <is>
          <t>05</t>
        </is>
      </c>
      <c r="B12" s="6" t="inlineStr">
        <is>
          <t>Обустройство жилья</t>
        </is>
      </c>
      <c r="C12" s="7" t="inlineStr">
        <is>
          <t>room, equip</t>
        </is>
      </c>
      <c r="D12" s="7" t="inlineStr">
        <is>
          <t>Комната ребёнка и техника, которой он пользуется.</t>
        </is>
      </c>
    </row>
    <row r="13" ht="28" customHeight="1">
      <c r="A13" s="8" t="inlineStr">
        <is>
          <t>06</t>
        </is>
      </c>
      <c r="B13" s="6" t="inlineStr">
        <is>
          <t>Здоровье</t>
        </is>
      </c>
      <c r="C13" s="7" t="inlineStr">
        <is>
          <t>health_pharm, health_serv</t>
        </is>
      </c>
      <c r="D13" s="7" t="inlineStr">
        <is>
          <t>Лекарства и медицинские услуги индивидуально для ребёнка.</t>
        </is>
      </c>
    </row>
    <row r="14" ht="28" customHeight="1">
      <c r="A14" s="8" t="inlineStr">
        <is>
          <t>07</t>
        </is>
      </c>
      <c r="B14" s="6" t="inlineStr">
        <is>
          <t>Отдых и досуг</t>
        </is>
      </c>
      <c r="C14" s="7" t="inlineStr">
        <is>
          <t>sport_buy, sport_pay, holidays_pay</t>
        </is>
      </c>
      <c r="D14" s="7" t="inlineStr"/>
    </row>
    <row r="15" ht="28" customHeight="1">
      <c r="A15" s="8" t="inlineStr">
        <is>
          <t>08</t>
        </is>
      </c>
      <c r="B15" s="6" t="inlineStr">
        <is>
          <t>Другие расходы</t>
        </is>
      </c>
      <c r="C15" s="7" t="inlineStr">
        <is>
          <t>food, personal_buy, pocket, equip_pay</t>
        </is>
      </c>
      <c r="D15" s="7" t="inlineStr"/>
    </row>
    <row r="16" ht="28" customHeight="1">
      <c r="A16" s="8" t="inlineStr">
        <is>
          <t>09</t>
        </is>
      </c>
      <c r="B16" s="6" t="inlineStr">
        <is>
          <t>Общие расходы</t>
        </is>
      </c>
      <c r="C16" s="7" t="inlineStr">
        <is>
          <t>household_cosmetics, household_dishes, household_tech, home_comfort, holidays_buy, home_pay, leisure_shared, transport_pay</t>
        </is>
      </c>
      <c r="D16" s="7" t="inlineStr">
        <is>
          <t>Вещи и платежи на семью. Доля ребёнка — одна треть.</t>
        </is>
      </c>
    </row>
    <row r="18" ht="22" customHeight="1">
      <c r="A18" s="3" t="inlineStr">
        <is>
          <t>ГРУППЫ ДИАГРАММЫ</t>
        </is>
      </c>
      <c r="B18" s="4" t="n"/>
      <c r="C18" s="4" t="n"/>
      <c r="D18" s="4" t="n"/>
    </row>
    <row r="19">
      <c r="A19" s="5" t="inlineStr">
        <is>
          <t>ID</t>
        </is>
      </c>
      <c r="B19" s="5" t="inlineStr">
        <is>
          <t>Подпись</t>
        </is>
      </c>
      <c r="C19" s="5" t="inlineStr">
        <is>
          <t>Блоки</t>
        </is>
      </c>
      <c r="D19" s="5" t="inlineStr"/>
    </row>
    <row r="20">
      <c r="A20" s="8" t="inlineStr">
        <is>
          <t>school</t>
        </is>
      </c>
      <c r="B20" s="6" t="inlineStr">
        <is>
          <t>Образование и школа</t>
        </is>
      </c>
      <c r="C20" s="7" t="inlineStr">
        <is>
          <t>school_ward, school_stuff, school_reg, school_add, extra_buy, extra_pay</t>
        </is>
      </c>
    </row>
    <row r="21">
      <c r="A21" s="8" t="inlineStr">
        <is>
          <t>wear</t>
        </is>
      </c>
      <c r="B21" s="6" t="inlineStr">
        <is>
          <t>Гардероб</t>
        </is>
      </c>
      <c r="C21" s="7" t="inlineStr">
        <is>
          <t>underwear, layer2, outer, shoes, acc</t>
        </is>
      </c>
    </row>
    <row r="22">
      <c r="A22" s="8" t="inlineStr">
        <is>
          <t>home_setup</t>
        </is>
      </c>
      <c r="B22" s="6" t="inlineStr">
        <is>
          <t>Обустройство жилья</t>
        </is>
      </c>
      <c r="C22" s="7" t="inlineStr">
        <is>
          <t>room, equip</t>
        </is>
      </c>
    </row>
    <row r="23">
      <c r="A23" s="8" t="inlineStr">
        <is>
          <t>health</t>
        </is>
      </c>
      <c r="B23" s="6" t="inlineStr">
        <is>
          <t>Здоровье</t>
        </is>
      </c>
      <c r="C23" s="7" t="inlineStr">
        <is>
          <t>health_pharm, health_serv</t>
        </is>
      </c>
    </row>
    <row r="24">
      <c r="A24" s="8" t="inlineStr">
        <is>
          <t>leisure</t>
        </is>
      </c>
      <c r="B24" s="6" t="inlineStr">
        <is>
          <t>Отдых и досуг</t>
        </is>
      </c>
      <c r="C24" s="7" t="inlineStr">
        <is>
          <t>sport_buy, sport_pay, holidays_pay</t>
        </is>
      </c>
    </row>
    <row r="25">
      <c r="A25" s="8" t="inlineStr">
        <is>
          <t>shared</t>
        </is>
      </c>
      <c r="B25" s="6" t="inlineStr">
        <is>
          <t>Доля в общих расходах</t>
        </is>
      </c>
      <c r="C25" s="7" t="inlineStr">
        <is>
          <t>household_cosmetics, household_dishes, household_tech, home_comfort, holidays_buy, home_pay, leisure_shared, transport_pay</t>
        </is>
      </c>
    </row>
  </sheetData>
  <autoFilter ref="A5:D5"/>
  <mergeCells count="5">
    <mergeCell ref="A1:D1"/>
    <mergeCell ref="A18:D18"/>
    <mergeCell ref="A8:D8"/>
    <mergeCell ref="A4:D4"/>
    <mergeCell ref="A2:D2"/>
  </mergeCells>
  <pageMargins left="0.75" right="0.75" top="1" bottom="1" header="0.5" footer="0.5"/>
  <pageSetup orientation="landscape" paperSize="9" fitToHeight="0" fitToWidth="1"/>
  <headerFooter>
    <oddHeader/>
    <oddFooter>&amp;RСтраница &amp;P из &amp;N · Счётикс</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2026-08-13T10:22:17Z</dcterms:created>
  <dcterms:modified xsi:type="dcterms:W3CDTF">2026-08-13T10:22:17Z</dcterms:modified>
</cp:coreProperties>
</file>