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платежи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catalog/index/name/shoes_for_boys/brand/4112/" TargetMode="External" Id="rId3"/><Relationship Type="http://schemas.openxmlformats.org/officeDocument/2006/relationships/hyperlink" Target="https://www.detmir.ru/search/results/?qt=%D1%81%D0%BB%D0%B0%D0%BD%D1%86%D1%8B" TargetMode="External" Id="rId4"/><Relationship Type="http://schemas.openxmlformats.org/officeDocument/2006/relationships/hyperlink" Target="https://www.detmir.ru/search/results/?qt=%D1%82%D0%B0%D0%BF%D0%BE%D1%87%D0%BA%D0%B8" TargetMode="External" Id="rId5"/><Relationship Type="http://schemas.openxmlformats.org/officeDocument/2006/relationships/hyperlink" Target="https://www.detmir.ru/product/index/id/7077779/" TargetMode="External" Id="rId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product/index/id/7076432/" TargetMode="External" Id="rId6"/><Relationship Type="http://schemas.openxmlformats.org/officeDocument/2006/relationships/hyperlink" Target="https://www.detmir.ru/catalog/index/name/neckties/" TargetMode="External" Id="rId7"/><Relationship Type="http://schemas.openxmlformats.org/officeDocument/2006/relationships/hyperlink" Target="https://www.detmir.ru/catalog/index/name/straps/pol-malchik/" TargetMode="External" Id="rId8"/><Relationship Type="http://schemas.openxmlformats.org/officeDocument/2006/relationships/hyperlink" Target="https://www.detmir.ru/product/index/id/7069266/" TargetMode="External" Id="rId9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покупки'!G12</f>
        <v/>
      </c>
      <c r="C10" s="8">
        <f>'Обувь покупки'!H12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гардероб'!G15</f>
        <v/>
      </c>
      <c r="C15" s="8">
        <f>'Школа — гардероб'!H15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платежи</t>
        </is>
      </c>
      <c r="B17" s="8">
        <f>'Школа — регулярные платежи'!E9</f>
        <v/>
      </c>
      <c r="C17" s="8">
        <f>'Школа — регулярные платежи'!F9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платежи;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Сандалии летние</t>
        </is>
      </c>
      <c r="C7" s="15" t="n">
        <v>1</v>
      </c>
      <c r="D7" s="16" t="inlineStr">
        <is>
          <t>https://www.detmir.ru/catalog/index/name/shoes_for_boys/brand/4112/</t>
        </is>
      </c>
      <c r="E7" s="17" t="n">
        <v>999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Сланцы летние</t>
        </is>
      </c>
      <c r="C8" s="15" t="n">
        <v>1</v>
      </c>
      <c r="D8" s="16" t="inlineStr">
        <is>
          <t>https://www.detmir.ru/search/results/?qt=%D1%81%D0%BB%D0%B0%D0%BD%D1%86%D1%8B</t>
        </is>
      </c>
      <c r="E8" s="17" t="n">
        <v>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Тапочки домашние</t>
        </is>
      </c>
      <c r="C9" s="15" t="n">
        <v>1</v>
      </c>
      <c r="D9" s="16" t="inlineStr">
        <is>
          <t>https://www.detmir.ru/search/results/?qt=%D1%82%D0%B0%D0%BF%D0%BE%D1%87%D0%BA%D0%B8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Туфли праздничные</t>
        </is>
      </c>
      <c r="C10" s="15" t="n">
        <v>1</v>
      </c>
      <c r="D10" s="16" t="inlineStr">
        <is>
          <t>https://www.detmir.ru/product/index/id/7077779/</t>
        </is>
      </c>
      <c r="E10" s="17" t="n">
        <v>1599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2">
      <c r="A12" s="10" t="inlineStr">
        <is>
          <t>Итого: Обувь</t>
        </is>
      </c>
      <c r="B12" s="10" t="n"/>
      <c r="C12" s="10" t="n"/>
      <c r="D12" s="10" t="n"/>
      <c r="E12" s="10" t="n"/>
      <c r="F12" s="10" t="n"/>
      <c r="G12" s="11">
        <f>G5+G6+G7+G8+G9+G10</f>
        <v/>
      </c>
      <c r="H12" s="11">
        <f>IF(G12=0,0,G12/12)</f>
        <v/>
      </c>
    </row>
  </sheetData>
  <mergeCells count="3">
    <mergeCell ref="A2:H2"/>
    <mergeCell ref="A12:F1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Кроссовки на физкультуру</t>
        </is>
      </c>
      <c r="C10" s="15" t="n">
        <v>1</v>
      </c>
      <c r="D10" s="16" t="inlineStr">
        <is>
          <t>https://www.detmir.ru/product/index/id/7076432/</t>
        </is>
      </c>
      <c r="E10" s="17" t="n">
        <v>2499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Галстук</t>
        </is>
      </c>
      <c r="C11" s="15" t="n">
        <v>1</v>
      </c>
      <c r="D11" s="16" t="inlineStr">
        <is>
          <t>https://www.detmir.ru/catalog/index/name/neckties/</t>
        </is>
      </c>
      <c r="E11" s="17" t="n">
        <v>299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Ремень</t>
        </is>
      </c>
      <c r="C12" s="15" t="n">
        <v>1</v>
      </c>
      <c r="D12" s="16" t="inlineStr">
        <is>
          <t>https://www.detmir.ru/catalog/index/name/straps/pol-malchik/</t>
        </is>
      </c>
      <c r="E12" s="17" t="n">
        <v>399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Спортивная форма школьная</t>
        </is>
      </c>
      <c r="C13" s="15" t="n">
        <v>1</v>
      </c>
      <c r="D13" s="16" t="inlineStr">
        <is>
          <t>https://www.detmir.ru/product/index/id/7069266/</t>
        </is>
      </c>
      <c r="E13" s="17" t="n">
        <v>1999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Школа: гардероб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спортивной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Школа: регулярные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7" t="n">
        <v>17000</v>
      </c>
      <c r="D5" s="15" t="inlineStr">
        <is>
          <t>год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7" t="n">
        <v>300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7" t="n">
        <v>3000</v>
      </c>
      <c r="D7" s="15" t="inlineStr">
        <is>
          <t>год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9">
      <c r="A9" s="10" t="inlineStr">
        <is>
          <t>Итого: Школа: регулярные платежи</t>
        </is>
      </c>
      <c r="B9" s="10" t="n"/>
      <c r="C9" s="10" t="n"/>
      <c r="D9" s="10" t="n"/>
      <c r="E9" s="11">
        <f>E5+E6+E7</f>
        <v/>
      </c>
      <c r="F9" s="11">
        <f>IF(E9=0,0,E9/12)</f>
        <v/>
      </c>
    </row>
  </sheetData>
  <mergeCells count="3">
    <mergeCell ref="A2:F2"/>
    <mergeCell ref="A9:D9"/>
    <mergeCell ref="A1:F1"/>
  </mergeCells>
  <dataValidations count="1">
    <dataValidation sqref="D5:D7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2026-08-13T06:55:34Z</dcterms:created>
  <dcterms:modified xmlns:dcterms="http://purl.org/dc/terms/" xmlns:xsi="http://www.w3.org/2001/XMLSchema-instance" xsi:type="dcterms:W3CDTF">2026-08-13T06:55:34Z</dcterms:modified>
</cp:coreProperties>
</file>